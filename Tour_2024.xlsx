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cll-my.sharepoint.com/personal/u0141940_ucll_be/Documents/Werkplekleren DAG/Participatie 1/"/>
    </mc:Choice>
  </mc:AlternateContent>
  <xr:revisionPtr revIDLastSave="19" documentId="13_ncr:1_{C5F4CC66-D793-4783-98C1-93AEF2899B49}" xr6:coauthVersionLast="47" xr6:coauthVersionMax="47" xr10:uidLastSave="{885322B5-B4D9-4CF5-9CF6-512EEF85ADA0}"/>
  <bookViews>
    <workbookView xWindow="-108" yWindow="-108" windowWidth="23256" windowHeight="13176" xr2:uid="{00000000-000D-0000-FFFF-FFFF00000000}"/>
  </bookViews>
  <sheets>
    <sheet name="TOUR PUNTEN" sheetId="4" r:id="rId1"/>
    <sheet name="Puntentelling" sheetId="5" r:id="rId2"/>
    <sheet name="Grafieken" sheetId="11" r:id="rId3"/>
    <sheet name="Blad1" sheetId="12" r:id="rId4"/>
  </sheets>
  <definedNames>
    <definedName name="_xlnm._FilterDatabase" localSheetId="1" hidden="1">Puntentelling!$F$35:$G$77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j4Nucjd3H9CMv39mv3OKdhB+gX5g=="/>
    </ext>
  </extLst>
</workbook>
</file>

<file path=xl/calcChain.xml><?xml version="1.0" encoding="utf-8"?>
<calcChain xmlns="http://schemas.openxmlformats.org/spreadsheetml/2006/main">
  <c r="D29" i="4" l="1" a="1"/>
  <c r="D29" i="4" s="1"/>
  <c r="E42" i="4" a="1"/>
  <c r="E42" i="4" s="1"/>
  <c r="E27" i="4" a="1"/>
  <c r="E27" i="4" s="1"/>
  <c r="X38" i="5" l="1"/>
  <c r="X37" i="5"/>
  <c r="X36" i="5"/>
  <c r="X35" i="5"/>
  <c r="F50" i="4" a="1"/>
  <c r="F50" i="4" s="1"/>
  <c r="E50" i="4" a="1"/>
  <c r="E50" i="4" s="1"/>
  <c r="D50" i="4" a="1"/>
  <c r="D50" i="4" s="1"/>
  <c r="F47" i="4" a="1"/>
  <c r="F47" i="4" s="1"/>
  <c r="E47" i="4" a="1"/>
  <c r="E47" i="4" s="1"/>
  <c r="F46" i="4" a="1"/>
  <c r="F46" i="4" s="1"/>
  <c r="E46" i="4" a="1"/>
  <c r="E46" i="4" s="1"/>
  <c r="F45" i="4" a="1"/>
  <c r="F45" i="4" s="1"/>
  <c r="E45" i="4" a="1"/>
  <c r="E45" i="4" s="1"/>
  <c r="G44" i="4" a="1"/>
  <c r="G44" i="4" s="1"/>
  <c r="F44" i="4" a="1"/>
  <c r="F44" i="4" s="1"/>
  <c r="E44" i="4" a="1"/>
  <c r="E44" i="4" s="1"/>
  <c r="D44" i="4" a="1"/>
  <c r="D44" i="4" s="1"/>
  <c r="G43" i="4" a="1"/>
  <c r="G43" i="4" s="1"/>
  <c r="F43" i="4" a="1"/>
  <c r="F43" i="4" s="1"/>
  <c r="D43" i="4" a="1"/>
  <c r="D43" i="4" s="1"/>
  <c r="G42" i="4" a="1"/>
  <c r="G42" i="4" s="1"/>
  <c r="F42" i="4" a="1"/>
  <c r="F42" i="4" s="1"/>
  <c r="F41" i="4" a="1"/>
  <c r="F41" i="4" s="1"/>
  <c r="E41" i="4" a="1"/>
  <c r="E41" i="4" s="1"/>
  <c r="G39" i="4" a="1"/>
  <c r="G39" i="4" s="1"/>
  <c r="E38" i="4" a="1"/>
  <c r="E38" i="4" s="1"/>
  <c r="G38" i="4" a="1"/>
  <c r="G38" i="4" s="1"/>
  <c r="E37" i="4" a="1"/>
  <c r="E37" i="4" s="1"/>
  <c r="D36" i="4" a="1"/>
  <c r="D36" i="4" s="1"/>
  <c r="E36" i="4" a="1"/>
  <c r="E36" i="4" s="1"/>
  <c r="G36" i="4" a="1"/>
  <c r="G36" i="4" s="1"/>
  <c r="G35" i="4" a="1"/>
  <c r="G35" i="4" s="1"/>
  <c r="E35" i="4" a="1"/>
  <c r="E35" i="4" s="1"/>
  <c r="D35" i="4" a="1"/>
  <c r="D35" i="4" s="1"/>
  <c r="E34" i="4" a="1"/>
  <c r="E34" i="4" s="1"/>
  <c r="F33" i="4" a="1"/>
  <c r="F33" i="4" s="1"/>
  <c r="E33" i="4" a="1"/>
  <c r="E33" i="4" s="1"/>
  <c r="G32" i="4" a="1"/>
  <c r="G32" i="4" s="1"/>
  <c r="F32" i="4" a="1"/>
  <c r="F32" i="4" s="1"/>
  <c r="E32" i="4" a="1"/>
  <c r="E32" i="4" s="1"/>
  <c r="D32" i="4" a="1"/>
  <c r="D32" i="4" s="1"/>
  <c r="G31" i="4" l="1" a="1"/>
  <c r="G31" i="4" s="1"/>
  <c r="E31" i="4" a="1"/>
  <c r="E31" i="4" s="1"/>
  <c r="D31" i="4" a="1"/>
  <c r="D31" i="4" s="1"/>
  <c r="E30" i="4" a="1"/>
  <c r="E30" i="4" s="1"/>
  <c r="E29" i="4" a="1"/>
  <c r="E29" i="4" s="1"/>
  <c r="G50" i="4" a="1"/>
  <c r="G50" i="4" s="1"/>
  <c r="T287" i="12"/>
  <c r="T290" i="12" s="1"/>
  <c r="S287" i="12"/>
  <c r="S290" i="12" s="1"/>
  <c r="R287" i="12"/>
  <c r="R290" i="12" s="1"/>
  <c r="Q287" i="12"/>
  <c r="Q290" i="12" s="1"/>
  <c r="M287" i="12"/>
  <c r="M290" i="12" s="1"/>
  <c r="L287" i="12"/>
  <c r="L290" i="12" s="1"/>
  <c r="K287" i="12"/>
  <c r="K290" i="12" s="1"/>
  <c r="J287" i="12"/>
  <c r="J290" i="12" s="1"/>
  <c r="F287" i="12"/>
  <c r="F290" i="12" s="1"/>
  <c r="E287" i="12"/>
  <c r="E290" i="12" s="1"/>
  <c r="D287" i="12"/>
  <c r="D290" i="12" s="1"/>
  <c r="C287" i="12"/>
  <c r="C290" i="12" s="1"/>
  <c r="T255" i="12"/>
  <c r="T258" i="12" s="1"/>
  <c r="S255" i="12"/>
  <c r="S258" i="12" s="1"/>
  <c r="R255" i="12"/>
  <c r="R258" i="12" s="1"/>
  <c r="Q255" i="12"/>
  <c r="Q258" i="12" s="1"/>
  <c r="M255" i="12"/>
  <c r="M258" i="12" s="1"/>
  <c r="L255" i="12"/>
  <c r="L258" i="12" s="1"/>
  <c r="K255" i="12"/>
  <c r="K258" i="12" s="1"/>
  <c r="J255" i="12"/>
  <c r="J258" i="12" s="1"/>
  <c r="F255" i="12"/>
  <c r="F258" i="12" s="1"/>
  <c r="E255" i="12"/>
  <c r="E258" i="12" s="1"/>
  <c r="D255" i="12"/>
  <c r="D258" i="12" s="1"/>
  <c r="C255" i="12"/>
  <c r="C258" i="12" s="1"/>
  <c r="S226" i="12"/>
  <c r="T223" i="12"/>
  <c r="T226" i="12" s="1"/>
  <c r="S223" i="12"/>
  <c r="R223" i="12"/>
  <c r="R226" i="12" s="1"/>
  <c r="Q223" i="12"/>
  <c r="Q226" i="12" s="1"/>
  <c r="M223" i="12"/>
  <c r="M226" i="12" s="1"/>
  <c r="L223" i="12"/>
  <c r="L226" i="12" s="1"/>
  <c r="K223" i="12"/>
  <c r="K226" i="12" s="1"/>
  <c r="J223" i="12"/>
  <c r="J226" i="12" s="1"/>
  <c r="F223" i="12"/>
  <c r="F226" i="12" s="1"/>
  <c r="E223" i="12"/>
  <c r="E226" i="12" s="1"/>
  <c r="D223" i="12"/>
  <c r="D226" i="12" s="1"/>
  <c r="C223" i="12"/>
  <c r="C226" i="12" s="1"/>
  <c r="T191" i="12"/>
  <c r="T194" i="12" s="1"/>
  <c r="S191" i="12"/>
  <c r="S194" i="12" s="1"/>
  <c r="R191" i="12"/>
  <c r="R194" i="12" s="1"/>
  <c r="Q191" i="12"/>
  <c r="Q194" i="12" s="1"/>
  <c r="M191" i="12"/>
  <c r="M194" i="12" s="1"/>
  <c r="L191" i="12"/>
  <c r="L194" i="12" s="1"/>
  <c r="K191" i="12"/>
  <c r="K194" i="12" s="1"/>
  <c r="J191" i="12"/>
  <c r="J194" i="12" s="1"/>
  <c r="F191" i="12"/>
  <c r="F194" i="12" s="1"/>
  <c r="E191" i="12"/>
  <c r="E194" i="12" s="1"/>
  <c r="D191" i="12"/>
  <c r="D194" i="12" s="1"/>
  <c r="C191" i="12"/>
  <c r="C194" i="12" s="1"/>
  <c r="T158" i="12"/>
  <c r="T161" i="12" s="1"/>
  <c r="S158" i="12"/>
  <c r="S161" i="12" s="1"/>
  <c r="R158" i="12"/>
  <c r="R161" i="12" s="1"/>
  <c r="Q158" i="12"/>
  <c r="Q161" i="12" s="1"/>
  <c r="M158" i="12"/>
  <c r="M161" i="12" s="1"/>
  <c r="L158" i="12"/>
  <c r="L161" i="12" s="1"/>
  <c r="K158" i="12"/>
  <c r="K161" i="12" s="1"/>
  <c r="J158" i="12"/>
  <c r="J161" i="12" s="1"/>
  <c r="F158" i="12"/>
  <c r="F161" i="12" s="1"/>
  <c r="E158" i="12"/>
  <c r="E161" i="12" s="1"/>
  <c r="D158" i="12"/>
  <c r="D161" i="12" s="1"/>
  <c r="C158" i="12"/>
  <c r="C161" i="12" s="1"/>
  <c r="T126" i="12"/>
  <c r="T129" i="12" s="1"/>
  <c r="S126" i="12"/>
  <c r="S129" i="12" s="1"/>
  <c r="R126" i="12"/>
  <c r="R129" i="12" s="1"/>
  <c r="Q126" i="12"/>
  <c r="Q129" i="12" s="1"/>
  <c r="M126" i="12"/>
  <c r="M129" i="12" s="1"/>
  <c r="L126" i="12"/>
  <c r="L129" i="12" s="1"/>
  <c r="K126" i="12"/>
  <c r="K129" i="12" s="1"/>
  <c r="J126" i="12"/>
  <c r="J129" i="12" s="1"/>
  <c r="F126" i="12"/>
  <c r="F129" i="12" s="1"/>
  <c r="E126" i="12"/>
  <c r="E129" i="12" s="1"/>
  <c r="D126" i="12"/>
  <c r="D129" i="12" s="1"/>
  <c r="C126" i="12"/>
  <c r="C129" i="12" s="1"/>
  <c r="T94" i="12"/>
  <c r="T97" i="12" s="1"/>
  <c r="S94" i="12"/>
  <c r="S97" i="12" s="1"/>
  <c r="R94" i="12"/>
  <c r="R97" i="12" s="1"/>
  <c r="Q94" i="12"/>
  <c r="Q97" i="12" s="1"/>
  <c r="M94" i="12"/>
  <c r="M97" i="12" s="1"/>
  <c r="L94" i="12"/>
  <c r="L97" i="12" s="1"/>
  <c r="K94" i="12"/>
  <c r="K97" i="12" s="1"/>
  <c r="J94" i="12"/>
  <c r="J97" i="12" s="1"/>
  <c r="F94" i="12"/>
  <c r="F97" i="12" s="1"/>
  <c r="E94" i="12"/>
  <c r="E97" i="12" s="1"/>
  <c r="D94" i="12"/>
  <c r="D97" i="12" s="1"/>
  <c r="C94" i="12"/>
  <c r="C97" i="12" s="1"/>
  <c r="T62" i="12"/>
  <c r="T65" i="12" s="1"/>
  <c r="S62" i="12"/>
  <c r="S65" i="12" s="1"/>
  <c r="R62" i="12"/>
  <c r="R65" i="12" s="1"/>
  <c r="Q62" i="12"/>
  <c r="Q65" i="12" s="1"/>
  <c r="M62" i="12"/>
  <c r="M65" i="12" s="1"/>
  <c r="L62" i="12"/>
  <c r="L65" i="12" s="1"/>
  <c r="K62" i="12"/>
  <c r="K65" i="12" s="1"/>
  <c r="J62" i="12"/>
  <c r="J65" i="12" s="1"/>
  <c r="F62" i="12"/>
  <c r="F65" i="12" s="1"/>
  <c r="E62" i="12"/>
  <c r="E65" i="12" s="1"/>
  <c r="D62" i="12"/>
  <c r="D65" i="12" s="1"/>
  <c r="C62" i="12"/>
  <c r="C65" i="12" s="1"/>
  <c r="T32" i="12"/>
  <c r="S32" i="12"/>
  <c r="R32" i="12"/>
  <c r="T29" i="12"/>
  <c r="S29" i="12"/>
  <c r="R29" i="12"/>
  <c r="Q29" i="12"/>
  <c r="Q32" i="12" s="1"/>
  <c r="M29" i="12"/>
  <c r="M32" i="12" s="1"/>
  <c r="K29" i="12"/>
  <c r="K32" i="12" s="1"/>
  <c r="L29" i="12"/>
  <c r="L32" i="12" s="1"/>
  <c r="J29" i="12"/>
  <c r="J32" i="12" s="1"/>
  <c r="F32" i="12"/>
  <c r="C32" i="12"/>
  <c r="F29" i="12"/>
  <c r="D29" i="12"/>
  <c r="D32" i="12" s="1"/>
  <c r="E29" i="12"/>
  <c r="E32" i="12" s="1"/>
  <c r="C29" i="12"/>
  <c r="G29" i="4" a="1"/>
  <c r="G29" i="4" s="1"/>
  <c r="F30" i="4" a="1"/>
  <c r="F30" i="4" s="1"/>
  <c r="F29" i="4" a="1"/>
  <c r="F29" i="4" s="1"/>
  <c r="F28" i="4" a="1"/>
  <c r="F28" i="4" s="1"/>
  <c r="E28" i="4" a="1"/>
  <c r="E28" i="4" s="1"/>
  <c r="G27" i="4" a="1"/>
  <c r="G27" i="4" s="1"/>
  <c r="F27" i="4" a="1"/>
  <c r="F27" i="4" s="1"/>
  <c r="D27" i="4" a="1"/>
  <c r="D27" i="4" s="1"/>
  <c r="C36" i="5" a="1"/>
  <c r="C36" i="5" s="1"/>
  <c r="DV28" i="5"/>
  <c r="DV27" i="5"/>
  <c r="DV26" i="5"/>
  <c r="DV25" i="5"/>
  <c r="DV24" i="5"/>
  <c r="DV23" i="5"/>
  <c r="DV22" i="5"/>
  <c r="DV21" i="5"/>
  <c r="DV20" i="5"/>
  <c r="DV19" i="5"/>
  <c r="DV18" i="5"/>
  <c r="DV17" i="5"/>
  <c r="DV16" i="5"/>
  <c r="DV15" i="5"/>
  <c r="DV14" i="5"/>
  <c r="DV13" i="5"/>
  <c r="DV12" i="5"/>
  <c r="DV11" i="5"/>
  <c r="DV10" i="5"/>
  <c r="DV9" i="5"/>
  <c r="DV8" i="5"/>
  <c r="DV7" i="5"/>
  <c r="DV6" i="5"/>
  <c r="G47" i="4" s="1" a="1"/>
  <c r="G47" i="4" s="1"/>
  <c r="DV5" i="5"/>
  <c r="DV4" i="5"/>
  <c r="D47" i="4" s="1" a="1"/>
  <c r="D47" i="4" s="1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P4" i="5"/>
  <c r="D46" i="4" s="1" a="1"/>
  <c r="D46" i="4" s="1"/>
  <c r="DP5" i="5"/>
  <c r="DP6" i="5"/>
  <c r="DP7" i="5"/>
  <c r="DP8" i="5"/>
  <c r="DP9" i="5"/>
  <c r="DP10" i="5"/>
  <c r="DP11" i="5"/>
  <c r="DP12" i="5"/>
  <c r="DP13" i="5"/>
  <c r="DP14" i="5"/>
  <c r="DP15" i="5"/>
  <c r="DP16" i="5"/>
  <c r="DP17" i="5"/>
  <c r="DP18" i="5"/>
  <c r="DP19" i="5"/>
  <c r="DP20" i="5"/>
  <c r="DP21" i="5"/>
  <c r="DP22" i="5"/>
  <c r="DP23" i="5"/>
  <c r="DP24" i="5"/>
  <c r="DP25" i="5"/>
  <c r="DP26" i="5"/>
  <c r="DP27" i="5"/>
  <c r="DP28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L28" i="5"/>
  <c r="L27" i="5"/>
  <c r="L26" i="5"/>
  <c r="L25" i="5"/>
  <c r="L24" i="5"/>
  <c r="L23" i="5"/>
  <c r="L22" i="5"/>
  <c r="L21" i="5"/>
  <c r="L20" i="5"/>
  <c r="L19" i="5"/>
  <c r="L18" i="5"/>
  <c r="L17" i="5"/>
  <c r="D28" i="4" s="1" a="1"/>
  <c r="D28" i="4" s="1"/>
  <c r="L16" i="5"/>
  <c r="L15" i="5"/>
  <c r="G28" i="4" s="1" a="1"/>
  <c r="G28" i="4" s="1"/>
  <c r="L14" i="5"/>
  <c r="L13" i="5"/>
  <c r="L12" i="5"/>
  <c r="L11" i="5"/>
  <c r="L10" i="5"/>
  <c r="L9" i="5"/>
  <c r="L8" i="5"/>
  <c r="L7" i="5"/>
  <c r="L6" i="5"/>
  <c r="L5" i="5"/>
  <c r="L4" i="5"/>
  <c r="D183" i="5" l="1"/>
  <c r="D182" i="5"/>
  <c r="D181" i="5"/>
  <c r="D180" i="5"/>
  <c r="G46" i="4" a="1"/>
  <c r="G46" i="4" s="1"/>
  <c r="D179" i="5"/>
  <c r="D178" i="5"/>
  <c r="D177" i="5"/>
  <c r="D176" i="5"/>
  <c r="D175" i="5"/>
  <c r="D174" i="5"/>
  <c r="D173" i="5"/>
  <c r="D172" i="5"/>
  <c r="D171" i="5"/>
  <c r="D164" i="5"/>
  <c r="D152" i="5"/>
  <c r="D140" i="5"/>
  <c r="D128" i="5"/>
  <c r="D116" i="5"/>
  <c r="D92" i="5"/>
  <c r="D80" i="5"/>
  <c r="D56" i="5"/>
  <c r="D168" i="5"/>
  <c r="D144" i="5"/>
  <c r="D132" i="5"/>
  <c r="D120" i="5"/>
  <c r="D108" i="5"/>
  <c r="D96" i="5"/>
  <c r="D72" i="5"/>
  <c r="D60" i="5"/>
  <c r="D48" i="5"/>
  <c r="D167" i="5"/>
  <c r="D95" i="5"/>
  <c r="D59" i="5"/>
  <c r="D154" i="5"/>
  <c r="D118" i="5"/>
  <c r="D82" i="5"/>
  <c r="D163" i="5"/>
  <c r="D139" i="5"/>
  <c r="D115" i="5"/>
  <c r="D55" i="5"/>
  <c r="D150" i="5"/>
  <c r="D126" i="5"/>
  <c r="D102" i="5"/>
  <c r="D54" i="5"/>
  <c r="D151" i="5"/>
  <c r="D127" i="5"/>
  <c r="D103" i="5"/>
  <c r="D67" i="5"/>
  <c r="D162" i="5"/>
  <c r="D138" i="5"/>
  <c r="D114" i="5"/>
  <c r="D90" i="5"/>
  <c r="D66" i="5"/>
  <c r="D42" i="5"/>
  <c r="D159" i="5"/>
  <c r="D135" i="5"/>
  <c r="D123" i="5"/>
  <c r="D111" i="5"/>
  <c r="D99" i="5"/>
  <c r="D75" i="5"/>
  <c r="D63" i="5"/>
  <c r="D142" i="5"/>
  <c r="D106" i="5"/>
  <c r="D46" i="5"/>
  <c r="D161" i="5"/>
  <c r="D149" i="5"/>
  <c r="D137" i="5"/>
  <c r="D125" i="5"/>
  <c r="D113" i="5"/>
  <c r="D101" i="5"/>
  <c r="D53" i="5"/>
  <c r="D41" i="5"/>
  <c r="D148" i="5"/>
  <c r="D124" i="5"/>
  <c r="D100" i="5"/>
  <c r="D76" i="5"/>
  <c r="D40" i="5"/>
  <c r="D170" i="5"/>
  <c r="D158" i="5"/>
  <c r="D146" i="5"/>
  <c r="D134" i="5"/>
  <c r="D110" i="5"/>
  <c r="D98" i="5"/>
  <c r="D86" i="5"/>
  <c r="D50" i="5"/>
  <c r="D155" i="5"/>
  <c r="D143" i="5"/>
  <c r="D119" i="5"/>
  <c r="D83" i="5"/>
  <c r="D71" i="5"/>
  <c r="D47" i="5"/>
  <c r="D166" i="5"/>
  <c r="D130" i="5"/>
  <c r="D160" i="5"/>
  <c r="D136" i="5"/>
  <c r="D112" i="5"/>
  <c r="D88" i="5"/>
  <c r="D64" i="5"/>
  <c r="D169" i="5"/>
  <c r="D145" i="5"/>
  <c r="D133" i="5"/>
  <c r="D121" i="5"/>
  <c r="D97" i="5"/>
  <c r="D61" i="5"/>
  <c r="D49" i="5"/>
  <c r="D165" i="5"/>
  <c r="D153" i="5"/>
  <c r="D141" i="5"/>
  <c r="D117" i="5"/>
  <c r="D105" i="5"/>
  <c r="D93" i="5"/>
  <c r="D81" i="5"/>
  <c r="D69" i="5"/>
  <c r="D57" i="5"/>
  <c r="D45" i="5"/>
  <c r="DJ28" i="5"/>
  <c r="DJ27" i="5"/>
  <c r="DJ26" i="5"/>
  <c r="DJ25" i="5"/>
  <c r="DJ24" i="5"/>
  <c r="DJ23" i="5"/>
  <c r="DJ22" i="5"/>
  <c r="DJ21" i="5"/>
  <c r="DJ20" i="5"/>
  <c r="DJ19" i="5"/>
  <c r="DJ18" i="5"/>
  <c r="DJ17" i="5"/>
  <c r="DJ16" i="5"/>
  <c r="DJ15" i="5"/>
  <c r="DJ14" i="5"/>
  <c r="DJ13" i="5"/>
  <c r="DJ12" i="5"/>
  <c r="DJ11" i="5"/>
  <c r="DJ10" i="5"/>
  <c r="DJ9" i="5"/>
  <c r="DJ8" i="5"/>
  <c r="G45" i="4" s="1" a="1"/>
  <c r="G45" i="4" s="1"/>
  <c r="DJ7" i="5"/>
  <c r="DJ6" i="5"/>
  <c r="DJ5" i="5"/>
  <c r="DJ4" i="5"/>
  <c r="D45" i="4" s="1" a="1"/>
  <c r="D45" i="4" s="1"/>
  <c r="DD28" i="5"/>
  <c r="DD27" i="5"/>
  <c r="DD26" i="5"/>
  <c r="DD25" i="5"/>
  <c r="DD24" i="5"/>
  <c r="DD23" i="5"/>
  <c r="DD22" i="5"/>
  <c r="DD21" i="5"/>
  <c r="DD20" i="5"/>
  <c r="DD19" i="5"/>
  <c r="DD18" i="5"/>
  <c r="DD17" i="5"/>
  <c r="DD16" i="5"/>
  <c r="DD15" i="5"/>
  <c r="DD14" i="5"/>
  <c r="DD13" i="5"/>
  <c r="DD12" i="5"/>
  <c r="DD11" i="5"/>
  <c r="DD10" i="5"/>
  <c r="DD9" i="5"/>
  <c r="DD8" i="5"/>
  <c r="DD7" i="5"/>
  <c r="DD6" i="5"/>
  <c r="DD5" i="5"/>
  <c r="DD4" i="5"/>
  <c r="CX28" i="5"/>
  <c r="CX27" i="5"/>
  <c r="CX26" i="5"/>
  <c r="CX25" i="5"/>
  <c r="CX24" i="5"/>
  <c r="CX23" i="5"/>
  <c r="CX22" i="5"/>
  <c r="CX21" i="5"/>
  <c r="CX20" i="5"/>
  <c r="CX19" i="5"/>
  <c r="CX18" i="5"/>
  <c r="CX17" i="5"/>
  <c r="CX16" i="5"/>
  <c r="CX15" i="5"/>
  <c r="CX14" i="5"/>
  <c r="CX13" i="5"/>
  <c r="CX12" i="5"/>
  <c r="CX11" i="5"/>
  <c r="CX10" i="5"/>
  <c r="CX9" i="5"/>
  <c r="CX8" i="5"/>
  <c r="CX7" i="5"/>
  <c r="CX6" i="5"/>
  <c r="CX5" i="5"/>
  <c r="E43" i="4" s="1" a="1"/>
  <c r="E43" i="4" s="1"/>
  <c r="CX4" i="5"/>
  <c r="CR28" i="5"/>
  <c r="CR27" i="5"/>
  <c r="CR26" i="5"/>
  <c r="CR25" i="5"/>
  <c r="CR24" i="5"/>
  <c r="CR23" i="5"/>
  <c r="CR22" i="5"/>
  <c r="CR21" i="5"/>
  <c r="CR20" i="5"/>
  <c r="CR19" i="5"/>
  <c r="CR18" i="5"/>
  <c r="CR17" i="5"/>
  <c r="CR16" i="5"/>
  <c r="CR15" i="5"/>
  <c r="CR14" i="5"/>
  <c r="CR13" i="5"/>
  <c r="CR12" i="5"/>
  <c r="CR11" i="5"/>
  <c r="CR10" i="5"/>
  <c r="CR9" i="5"/>
  <c r="CR8" i="5"/>
  <c r="D42" i="4" s="1" a="1"/>
  <c r="D42" i="4" s="1"/>
  <c r="CR7" i="5"/>
  <c r="CR6" i="5"/>
  <c r="CR5" i="5"/>
  <c r="CR4" i="5"/>
  <c r="CL28" i="5"/>
  <c r="CL27" i="5"/>
  <c r="CL26" i="5"/>
  <c r="CL25" i="5"/>
  <c r="CL24" i="5"/>
  <c r="CL23" i="5"/>
  <c r="CL22" i="5"/>
  <c r="CL21" i="5"/>
  <c r="CL20" i="5"/>
  <c r="CL19" i="5"/>
  <c r="CL18" i="5"/>
  <c r="CL17" i="5"/>
  <c r="CL16" i="5"/>
  <c r="D131" i="5" s="1"/>
  <c r="CL15" i="5"/>
  <c r="CL14" i="5"/>
  <c r="CL13" i="5"/>
  <c r="CL12" i="5"/>
  <c r="CL11" i="5"/>
  <c r="CL10" i="5"/>
  <c r="CL9" i="5"/>
  <c r="CL8" i="5"/>
  <c r="CL7" i="5"/>
  <c r="CL6" i="5"/>
  <c r="G41" i="4" s="1" a="1"/>
  <c r="G41" i="4" s="1"/>
  <c r="CL5" i="5"/>
  <c r="CL4" i="5"/>
  <c r="D41" i="4" s="1" a="1"/>
  <c r="D41" i="4" s="1"/>
  <c r="CF28" i="5"/>
  <c r="CF27" i="5"/>
  <c r="CF26" i="5"/>
  <c r="CF25" i="5"/>
  <c r="CF24" i="5"/>
  <c r="CF23" i="5"/>
  <c r="CF22" i="5"/>
  <c r="CF21" i="5"/>
  <c r="CF20" i="5"/>
  <c r="CF19" i="5"/>
  <c r="CF18" i="5"/>
  <c r="D156" i="5" s="1"/>
  <c r="CF17" i="5"/>
  <c r="CF16" i="5"/>
  <c r="CF15" i="5"/>
  <c r="CF14" i="5"/>
  <c r="CF13" i="5"/>
  <c r="CF12" i="5"/>
  <c r="CF11" i="5"/>
  <c r="CF10" i="5"/>
  <c r="CF9" i="5"/>
  <c r="E40" i="4" s="1" a="1"/>
  <c r="E40" i="4" s="1"/>
  <c r="CF8" i="5"/>
  <c r="CF7" i="5"/>
  <c r="CF6" i="5"/>
  <c r="G40" i="4" s="1" a="1"/>
  <c r="G40" i="4" s="1"/>
  <c r="CF5" i="5"/>
  <c r="F40" i="4" s="1" a="1"/>
  <c r="F40" i="4" s="1"/>
  <c r="CF4" i="5"/>
  <c r="D40" i="4" s="1" a="1"/>
  <c r="D40" i="4" s="1"/>
  <c r="BZ28" i="5"/>
  <c r="BZ27" i="5"/>
  <c r="BZ26" i="5"/>
  <c r="BZ25" i="5"/>
  <c r="BZ24" i="5"/>
  <c r="BZ23" i="5"/>
  <c r="D157" i="5" s="1"/>
  <c r="BZ22" i="5"/>
  <c r="BZ21" i="5"/>
  <c r="BZ20" i="5"/>
  <c r="BZ19" i="5"/>
  <c r="BZ18" i="5"/>
  <c r="BZ17" i="5"/>
  <c r="BZ16" i="5"/>
  <c r="BZ15" i="5"/>
  <c r="BZ14" i="5"/>
  <c r="BZ13" i="5"/>
  <c r="BZ12" i="5"/>
  <c r="BZ11" i="5"/>
  <c r="BZ10" i="5"/>
  <c r="D122" i="5" s="1"/>
  <c r="BZ9" i="5"/>
  <c r="BZ8" i="5"/>
  <c r="BZ7" i="5"/>
  <c r="F39" i="4" s="1" a="1"/>
  <c r="F39" i="4" s="1"/>
  <c r="BZ6" i="5"/>
  <c r="BZ5" i="5"/>
  <c r="BZ4" i="5"/>
  <c r="E39" i="4" s="1" a="1"/>
  <c r="E39" i="4" s="1"/>
  <c r="BT28" i="5"/>
  <c r="BT27" i="5"/>
  <c r="BT26" i="5"/>
  <c r="D38" i="4" s="1" a="1"/>
  <c r="D38" i="4" s="1"/>
  <c r="BT25" i="5"/>
  <c r="BT24" i="5"/>
  <c r="BT23" i="5"/>
  <c r="BT22" i="5"/>
  <c r="BT21" i="5"/>
  <c r="BT20" i="5"/>
  <c r="BT19" i="5"/>
  <c r="BT18" i="5"/>
  <c r="BT17" i="5"/>
  <c r="BT16" i="5"/>
  <c r="BT15" i="5"/>
  <c r="BT14" i="5"/>
  <c r="BT13" i="5"/>
  <c r="BT12" i="5"/>
  <c r="BT11" i="5"/>
  <c r="BT10" i="5"/>
  <c r="BT9" i="5"/>
  <c r="BT8" i="5"/>
  <c r="BT7" i="5"/>
  <c r="BT6" i="5"/>
  <c r="BT5" i="5"/>
  <c r="BT4" i="5"/>
  <c r="F38" i="4" s="1" a="1"/>
  <c r="F38" i="4" s="1"/>
  <c r="BN28" i="5"/>
  <c r="BN27" i="5"/>
  <c r="BN26" i="5"/>
  <c r="BN25" i="5"/>
  <c r="BN24" i="5"/>
  <c r="BN23" i="5"/>
  <c r="D147" i="5" s="1"/>
  <c r="BN22" i="5"/>
  <c r="BN21" i="5"/>
  <c r="BN20" i="5"/>
  <c r="BN19" i="5"/>
  <c r="BN18" i="5"/>
  <c r="BN17" i="5"/>
  <c r="BN16" i="5"/>
  <c r="BN15" i="5"/>
  <c r="BN14" i="5"/>
  <c r="BN13" i="5"/>
  <c r="BN12" i="5"/>
  <c r="BN11" i="5"/>
  <c r="BN10" i="5"/>
  <c r="BN9" i="5"/>
  <c r="BN8" i="5"/>
  <c r="BN7" i="5"/>
  <c r="BN6" i="5"/>
  <c r="G37" i="4" s="1" a="1"/>
  <c r="G37" i="4" s="1"/>
  <c r="BN5" i="5"/>
  <c r="D37" i="4" s="1" a="1"/>
  <c r="D37" i="4" s="1"/>
  <c r="BN4" i="5"/>
  <c r="F37" i="4" s="1" a="1"/>
  <c r="F37" i="4" s="1"/>
  <c r="BH28" i="5"/>
  <c r="BH27" i="5"/>
  <c r="BH26" i="5"/>
  <c r="BH25" i="5"/>
  <c r="BH24" i="5"/>
  <c r="BH23" i="5"/>
  <c r="BH22" i="5"/>
  <c r="BH21" i="5"/>
  <c r="BH20" i="5"/>
  <c r="BH19" i="5"/>
  <c r="BH18" i="5"/>
  <c r="BH17" i="5"/>
  <c r="BH16" i="5"/>
  <c r="BH15" i="5"/>
  <c r="BH14" i="5"/>
  <c r="BH13" i="5"/>
  <c r="BH12" i="5"/>
  <c r="BH11" i="5"/>
  <c r="BH10" i="5"/>
  <c r="BH9" i="5"/>
  <c r="BH8" i="5"/>
  <c r="BH7" i="5"/>
  <c r="BH6" i="5"/>
  <c r="BH5" i="5"/>
  <c r="F36" i="4" s="1" a="1"/>
  <c r="F36" i="4" s="1"/>
  <c r="BH4" i="5"/>
  <c r="BB28" i="5"/>
  <c r="BB27" i="5"/>
  <c r="BB26" i="5"/>
  <c r="BB25" i="5"/>
  <c r="BB24" i="5"/>
  <c r="D62" i="5" s="1"/>
  <c r="BB23" i="5"/>
  <c r="BB22" i="5"/>
  <c r="BB21" i="5"/>
  <c r="BB20" i="5"/>
  <c r="BB19" i="5"/>
  <c r="BB18" i="5"/>
  <c r="BB17" i="5"/>
  <c r="BB16" i="5"/>
  <c r="BB15" i="5"/>
  <c r="BB14" i="5"/>
  <c r="BB13" i="5"/>
  <c r="BB12" i="5"/>
  <c r="F35" i="4" s="1" a="1"/>
  <c r="F35" i="4" s="1"/>
  <c r="BB11" i="5"/>
  <c r="BB10" i="5"/>
  <c r="BB9" i="5"/>
  <c r="BB8" i="5"/>
  <c r="BB7" i="5"/>
  <c r="BB6" i="5"/>
  <c r="BB5" i="5"/>
  <c r="BB4" i="5"/>
  <c r="AV28" i="5"/>
  <c r="AV27" i="5"/>
  <c r="AV26" i="5"/>
  <c r="AV25" i="5"/>
  <c r="AV24" i="5"/>
  <c r="AV23" i="5"/>
  <c r="AV22" i="5"/>
  <c r="AV21" i="5"/>
  <c r="AV20" i="5"/>
  <c r="AV19" i="5"/>
  <c r="AV18" i="5"/>
  <c r="AV17" i="5"/>
  <c r="AV16" i="5"/>
  <c r="D34" i="4" s="1" a="1"/>
  <c r="D34" i="4" s="1"/>
  <c r="AV15" i="5"/>
  <c r="AV14" i="5"/>
  <c r="AV13" i="5"/>
  <c r="G34" i="4" s="1" a="1"/>
  <c r="G34" i="4" s="1"/>
  <c r="AV12" i="5"/>
  <c r="AV11" i="5"/>
  <c r="AV10" i="5"/>
  <c r="AV9" i="5"/>
  <c r="AV8" i="5"/>
  <c r="AV7" i="5"/>
  <c r="AV6" i="5"/>
  <c r="AV5" i="5"/>
  <c r="AV4" i="5"/>
  <c r="F34" i="4" s="1" a="1"/>
  <c r="F34" i="4" s="1"/>
  <c r="AP28" i="5"/>
  <c r="AP27" i="5"/>
  <c r="AP26" i="5"/>
  <c r="AP25" i="5"/>
  <c r="AP24" i="5"/>
  <c r="AP23" i="5"/>
  <c r="AP22" i="5"/>
  <c r="AP21" i="5"/>
  <c r="AP20" i="5"/>
  <c r="AP19" i="5"/>
  <c r="AP18" i="5"/>
  <c r="AP17" i="5"/>
  <c r="AP16" i="5"/>
  <c r="AP15" i="5"/>
  <c r="AP14" i="5"/>
  <c r="AP13" i="5"/>
  <c r="AP12" i="5"/>
  <c r="AP11" i="5"/>
  <c r="AP10" i="5"/>
  <c r="AP9" i="5"/>
  <c r="AP8" i="5"/>
  <c r="AP7" i="5"/>
  <c r="AP6" i="5"/>
  <c r="AP5" i="5"/>
  <c r="D33" i="4" s="1" a="1"/>
  <c r="D33" i="4" s="1"/>
  <c r="AP4" i="5"/>
  <c r="G33" i="4" s="1" a="1"/>
  <c r="G33" i="4" s="1"/>
  <c r="AJ28" i="5"/>
  <c r="AJ27" i="5"/>
  <c r="AJ26" i="5"/>
  <c r="AJ25" i="5"/>
  <c r="AJ24" i="5"/>
  <c r="AJ23" i="5"/>
  <c r="AJ22" i="5"/>
  <c r="AJ21" i="5"/>
  <c r="D89" i="5" s="1"/>
  <c r="AJ20" i="5"/>
  <c r="AJ19" i="5"/>
  <c r="AJ18" i="5"/>
  <c r="AJ17" i="5"/>
  <c r="AJ16" i="5"/>
  <c r="AJ15" i="5"/>
  <c r="AJ14" i="5"/>
  <c r="AJ13" i="5"/>
  <c r="AJ12" i="5"/>
  <c r="AJ11" i="5"/>
  <c r="AJ10" i="5"/>
  <c r="AJ9" i="5"/>
  <c r="AJ8" i="5"/>
  <c r="AJ7" i="5"/>
  <c r="AJ6" i="5"/>
  <c r="AJ5" i="5"/>
  <c r="AJ4" i="5"/>
  <c r="AD28" i="5"/>
  <c r="AD27" i="5"/>
  <c r="AD26" i="5"/>
  <c r="AD25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F31" i="4" s="1" a="1"/>
  <c r="F31" i="4" s="1"/>
  <c r="AD11" i="5"/>
  <c r="AD10" i="5"/>
  <c r="AD9" i="5"/>
  <c r="D85" i="5" s="1"/>
  <c r="AD8" i="5"/>
  <c r="AD7" i="5"/>
  <c r="AD6" i="5"/>
  <c r="AD5" i="5"/>
  <c r="D107" i="5" s="1"/>
  <c r="AD4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8" i="5"/>
  <c r="X7" i="5"/>
  <c r="X6" i="5"/>
  <c r="X5" i="5"/>
  <c r="G30" i="4" s="1" a="1"/>
  <c r="G30" i="4" s="1"/>
  <c r="X4" i="5"/>
  <c r="D30" i="4" s="1" a="1"/>
  <c r="D30" i="4" s="1"/>
  <c r="H51" i="4"/>
  <c r="R28" i="5"/>
  <c r="R27" i="5"/>
  <c r="R26" i="5"/>
  <c r="R25" i="5"/>
  <c r="R24" i="5"/>
  <c r="R23" i="5"/>
  <c r="R22" i="5"/>
  <c r="R21" i="5"/>
  <c r="R20" i="5"/>
  <c r="R19" i="5"/>
  <c r="R18" i="5"/>
  <c r="R17" i="5"/>
  <c r="D70" i="5" s="1"/>
  <c r="R16" i="5"/>
  <c r="R15" i="5"/>
  <c r="R14" i="5"/>
  <c r="R13" i="5"/>
  <c r="R12" i="5"/>
  <c r="R11" i="5"/>
  <c r="R10" i="5"/>
  <c r="R9" i="5"/>
  <c r="R8" i="5"/>
  <c r="R7" i="5"/>
  <c r="R6" i="5"/>
  <c r="R5" i="5"/>
  <c r="R4" i="5"/>
  <c r="D129" i="5" l="1"/>
  <c r="D38" i="5"/>
  <c r="D104" i="5"/>
  <c r="D94" i="5"/>
  <c r="D39" i="4" a="1"/>
  <c r="D39" i="4" s="1"/>
  <c r="D109" i="5"/>
  <c r="D51" i="5"/>
  <c r="D79" i="5"/>
  <c r="D43" i="5"/>
  <c r="D39" i="5"/>
  <c r="F51" i="4"/>
  <c r="D52" i="5"/>
  <c r="D91" i="5"/>
  <c r="D44" i="5"/>
  <c r="D36" i="5"/>
  <c r="D68" i="5"/>
  <c r="D78" i="5"/>
  <c r="D58" i="5"/>
  <c r="D65" i="5"/>
  <c r="D37" i="5"/>
  <c r="D77" i="5"/>
  <c r="D74" i="5"/>
  <c r="D84" i="5"/>
  <c r="D87" i="5"/>
  <c r="D73" i="5"/>
  <c r="E51" i="4"/>
  <c r="G51" i="4"/>
  <c r="D51" i="4" l="1"/>
  <c r="F36" i="5" a="1"/>
  <c r="F36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<sst xmlns="http://schemas.openxmlformats.org/spreadsheetml/2006/main" count="1722" uniqueCount="240">
  <si>
    <t>Vuelta Draft 👑</t>
  </si>
  <si>
    <t>Dries</t>
  </si>
  <si>
    <t>Jonas</t>
  </si>
  <si>
    <t>Casper</t>
  </si>
  <si>
    <t>Roel</t>
  </si>
  <si>
    <t>Spelregels</t>
  </si>
  <si>
    <t>Iedere speler kiest 10 unieke renners naar keuze (via een draft systeem).</t>
  </si>
  <si>
    <t xml:space="preserve">Elke renner rijdt elke etappe mee. </t>
  </si>
  <si>
    <t>Fernando Gaviria</t>
  </si>
  <si>
    <t>Nadien worden er volgens hetzelfde systeem nog 5 bank renners gekozen.</t>
  </si>
  <si>
    <t>Geraint Thomas</t>
  </si>
  <si>
    <t>Algemene punten</t>
  </si>
  <si>
    <t>Team 5</t>
  </si>
  <si>
    <t>Rit 1</t>
  </si>
  <si>
    <t>Rit 2</t>
  </si>
  <si>
    <t>Rit 3</t>
  </si>
  <si>
    <t>Rit 4</t>
  </si>
  <si>
    <t>Rit 5</t>
  </si>
  <si>
    <t>Rit 6</t>
  </si>
  <si>
    <t>Rit 7</t>
  </si>
  <si>
    <t>Rit 8</t>
  </si>
  <si>
    <t>Rit 9</t>
  </si>
  <si>
    <t>Rit 10</t>
  </si>
  <si>
    <t>Rit 11</t>
  </si>
  <si>
    <t>Rit 12</t>
  </si>
  <si>
    <t>Rit 13</t>
  </si>
  <si>
    <t>Rit 14</t>
  </si>
  <si>
    <t>Rit 15</t>
  </si>
  <si>
    <t>Rit 16</t>
  </si>
  <si>
    <t>Rit 17</t>
  </si>
  <si>
    <t>Rit 18</t>
  </si>
  <si>
    <t>Transfers</t>
  </si>
  <si>
    <t>Rit 19</t>
  </si>
  <si>
    <t>Renners op de bank ontvangen geen punten. Transfereren kan wel:</t>
  </si>
  <si>
    <t>Rit 20</t>
  </si>
  <si>
    <t>Enkel en alleen als een renner niet start, om welke reden dan ook.</t>
  </si>
  <si>
    <t>Rit 21</t>
  </si>
  <si>
    <t>Transfers moeten voor het begin van de etappe gemaakt worden.</t>
  </si>
  <si>
    <t>Men mag kiezen over welke renner van de bank het gaat.</t>
  </si>
  <si>
    <t>Eindafrekening</t>
  </si>
  <si>
    <t>Truidragers</t>
  </si>
  <si>
    <t>TOTAAL</t>
  </si>
  <si>
    <t>Extra punten voor de renner die in de verschillende klassementen leidt</t>
  </si>
  <si>
    <r>
      <rPr>
        <sz val="11"/>
        <color theme="1"/>
        <rFont val="Century Gothic"/>
        <family val="2"/>
      </rPr>
      <t>Algemeen klassement (de </t>
    </r>
    <r>
      <rPr>
        <b/>
        <sz val="11"/>
        <color rgb="FFFF0000"/>
        <rFont val="Century Gothic"/>
        <family val="2"/>
      </rPr>
      <t>rode</t>
    </r>
    <r>
      <rPr>
        <sz val="11"/>
        <color theme="1"/>
        <rFont val="Century Gothic"/>
        <family val="2"/>
      </rPr>
      <t xml:space="preserve"> trui), krijgt 20 punten extra.</t>
    </r>
  </si>
  <si>
    <r>
      <rPr>
        <sz val="11"/>
        <color theme="1"/>
        <rFont val="Century Gothic"/>
        <family val="2"/>
      </rPr>
      <t>Puntenklassement (de </t>
    </r>
    <r>
      <rPr>
        <b/>
        <sz val="11"/>
        <color rgb="FF00FF00"/>
        <rFont val="Century Gothic"/>
        <family val="2"/>
      </rPr>
      <t>groene</t>
    </r>
    <r>
      <rPr>
        <sz val="11"/>
        <color theme="1"/>
        <rFont val="Century Gothic"/>
        <family val="2"/>
      </rPr>
      <t xml:space="preserve"> trui), krijgt 10 punten extra.</t>
    </r>
  </si>
  <si>
    <r>
      <rPr>
        <sz val="11"/>
        <color theme="1"/>
        <rFont val="Century Gothic"/>
        <family val="2"/>
      </rPr>
      <t xml:space="preserve">Bergklassement (de </t>
    </r>
    <r>
      <rPr>
        <b/>
        <sz val="11"/>
        <color rgb="FF0000FF"/>
        <rFont val="Century Gothic"/>
        <family val="2"/>
      </rPr>
      <t>blauwe</t>
    </r>
    <r>
      <rPr>
        <sz val="11"/>
        <color rgb="FF0000FF"/>
        <rFont val="Century Gothic"/>
        <family val="2"/>
      </rPr>
      <t xml:space="preserve"> </t>
    </r>
    <r>
      <rPr>
        <sz val="11"/>
        <color theme="1"/>
        <rFont val="Century Gothic"/>
        <family val="2"/>
      </rPr>
      <t>trui), krijgt 10 punten extra.</t>
    </r>
  </si>
  <si>
    <r>
      <rPr>
        <sz val="11"/>
        <color theme="1"/>
        <rFont val="Century Gothic"/>
        <family val="2"/>
      </rPr>
      <t>Jongerenklassement (de </t>
    </r>
    <r>
      <rPr>
        <b/>
        <sz val="11"/>
        <color rgb="FFFFFFFF"/>
        <rFont val="Century Gothic"/>
        <family val="2"/>
      </rPr>
      <t>witte</t>
    </r>
    <r>
      <rPr>
        <sz val="11"/>
        <color theme="1"/>
        <rFont val="Century Gothic"/>
        <family val="2"/>
      </rPr>
      <t xml:space="preserve"> trui), krijgt 5 punten extra.</t>
    </r>
  </si>
  <si>
    <t>Eindklassement</t>
  </si>
  <si>
    <t>Winnaar</t>
  </si>
  <si>
    <t>De winnaar wordt door de rest getrakteerd op een bak speciaal bier.</t>
  </si>
  <si>
    <t>Positie</t>
  </si>
  <si>
    <t>Naam</t>
  </si>
  <si>
    <t>Punten</t>
  </si>
  <si>
    <t>Truien</t>
  </si>
  <si>
    <t>Totaal</t>
  </si>
  <si>
    <t>Truien Extra</t>
  </si>
  <si>
    <t>Totaliteit punten per renner overkoepelend</t>
  </si>
  <si>
    <t>Totale afrekening per speler per klassement</t>
  </si>
  <si>
    <t>TOTAAL Afrekening</t>
  </si>
  <si>
    <t>Totaal gesorteerd</t>
  </si>
  <si>
    <t>Algemeen klassement</t>
  </si>
  <si>
    <t>Bergtrui</t>
  </si>
  <si>
    <t>Puntentrui</t>
  </si>
  <si>
    <t>Jongerentrui</t>
  </si>
  <si>
    <t>Tadej Pogacar</t>
  </si>
  <si>
    <t>Romain Bardet</t>
  </si>
  <si>
    <t>Fabio Jakobsen</t>
  </si>
  <si>
    <t>Phil Bauhaus</t>
  </si>
  <si>
    <t>Biniam Girmay</t>
  </si>
  <si>
    <t>Danny Van Poppel</t>
  </si>
  <si>
    <t>Alexey Lutsenko</t>
  </si>
  <si>
    <t>Christophe Laporte</t>
  </si>
  <si>
    <t>Ook aan het einde van de ronde worden renners in het klassement beloond.</t>
  </si>
  <si>
    <t>Bankpunten klassement</t>
  </si>
  <si>
    <t>Davide Ballerini</t>
  </si>
  <si>
    <t>Ritten</t>
  </si>
  <si>
    <t>Algemeen</t>
  </si>
  <si>
    <t>Berg</t>
  </si>
  <si>
    <t>Sprint</t>
  </si>
  <si>
    <t>Jongeren</t>
  </si>
  <si>
    <t>Totale ritverdeling</t>
  </si>
  <si>
    <t>MAX totaal/trui</t>
  </si>
  <si>
    <t>Scenario 1</t>
  </si>
  <si>
    <t>Dezelfde renner heeft elke rit 1 van de 4 truien én wint het eindklassement van zijn trui</t>
  </si>
  <si>
    <t>Dezelfde renner heeft slechts de helft van de ritten (10) 1 van de 4 truien én wint het eindklassement van zijn trui</t>
  </si>
  <si>
    <t>Scenario 2</t>
  </si>
  <si>
    <t>Scenario 3</t>
  </si>
  <si>
    <t>Dezelfde renner heeft slechts een kwart van de ritten (5) 1 van de 4 truien én wint het eindklassement van zijn trui</t>
  </si>
  <si>
    <t>Dezelfde renner heeft slechts de helft van de ritten (10) 1 van de 4 truien én is slechts derde in het eindklassement</t>
  </si>
  <si>
    <t>Scenario 4</t>
  </si>
  <si>
    <t>Scenario 5</t>
  </si>
  <si>
    <t>Dezelfde renner heeft slechts een kwart van de ritten (5) 1 van de 4 truien én is slechts derde in het eindklassement</t>
  </si>
  <si>
    <t>Scenario 6</t>
  </si>
  <si>
    <t>Dezelfde renner heeft slechts de helft van de ritten (10) 1 van de 4 truien én is slechts vijfde in het eindklassement</t>
  </si>
  <si>
    <t>Scenario 7</t>
  </si>
  <si>
    <t>Scenario 8</t>
  </si>
  <si>
    <t>Dezelfde renner heeft slechts een kwart van de ritten (5) 1 van de 4 truien én is nergens in het eindklassement</t>
  </si>
  <si>
    <t>Scenario 9</t>
  </si>
  <si>
    <t>De renner haalt op de laatste dag de trui en is eerste in het eindklassement</t>
  </si>
  <si>
    <t>Jasper Philipsen</t>
  </si>
  <si>
    <t>Jonas Vingegaard</t>
  </si>
  <si>
    <t>Remco Evenepoel</t>
  </si>
  <si>
    <t>Primoz Roglic</t>
  </si>
  <si>
    <t>Mads Pedersen</t>
  </si>
  <si>
    <t>Carlos Rodriguez</t>
  </si>
  <si>
    <t>Matteo Jorgenson</t>
  </si>
  <si>
    <t>Wout Van Aert</t>
  </si>
  <si>
    <t>Juan Ayuso</t>
  </si>
  <si>
    <t>Tom Pidcock</t>
  </si>
  <si>
    <t>Arnaud De Lie</t>
  </si>
  <si>
    <t>Lenny Martinez</t>
  </si>
  <si>
    <t>Dylan Groenewegen</t>
  </si>
  <si>
    <t>Pascal Ackermann</t>
  </si>
  <si>
    <t>Joao Almeida</t>
  </si>
  <si>
    <t>Bryan Coquard</t>
  </si>
  <si>
    <t>Aleksandr Vlasov</t>
  </si>
  <si>
    <t>Tobias Johannessen</t>
  </si>
  <si>
    <t>Gerben Thijssen</t>
  </si>
  <si>
    <t>Adam Yates</t>
  </si>
  <si>
    <t>Simon Yates</t>
  </si>
  <si>
    <t>Oier Lazkano</t>
  </si>
  <si>
    <t>Santiago Buitrago</t>
  </si>
  <si>
    <t>Sam Bennett</t>
  </si>
  <si>
    <t>Pello Bilbao</t>
  </si>
  <si>
    <t>Romain Gregoire</t>
  </si>
  <si>
    <t>Mathieu Van Der Poel</t>
  </si>
  <si>
    <t>Derek Gee</t>
  </si>
  <si>
    <t>Matej Mohoric</t>
  </si>
  <si>
    <t>Maxim Van Gils</t>
  </si>
  <si>
    <t>Alberto Bettiol</t>
  </si>
  <si>
    <t>Alexander Kristoff</t>
  </si>
  <si>
    <t>Felix Gall</t>
  </si>
  <si>
    <t>Jai Hindley</t>
  </si>
  <si>
    <t>Luca Mozzato</t>
  </si>
  <si>
    <t>Giulio Ciccone</t>
  </si>
  <si>
    <t>Ben Healy</t>
  </si>
  <si>
    <t>Stefan Kung</t>
  </si>
  <si>
    <t>Michael Matthews</t>
  </si>
  <si>
    <t>Soren Waerenskjold</t>
  </si>
  <si>
    <t>Marc Soler</t>
  </si>
  <si>
    <t>Warren Barguil</t>
  </si>
  <si>
    <t>David Gaudu</t>
  </si>
  <si>
    <t>Mark Cavendish</t>
  </si>
  <si>
    <t>Egan Bernal</t>
  </si>
  <si>
    <t>Richard Carapaz</t>
  </si>
  <si>
    <t>Magnus Cort</t>
  </si>
  <si>
    <t>Marijn Van Den Berg</t>
  </si>
  <si>
    <t>Enric Mas</t>
  </si>
  <si>
    <t>Toms Skujins</t>
  </si>
  <si>
    <t>Wout Poels</t>
  </si>
  <si>
    <t>Alfred Wright</t>
  </si>
  <si>
    <t>Louis Meintjes</t>
  </si>
  <si>
    <t>Oscar Onley</t>
  </si>
  <si>
    <t>Tiesj Bennoot</t>
  </si>
  <si>
    <t>Clement Champoussin</t>
  </si>
  <si>
    <t>Neilson Powless</t>
  </si>
  <si>
    <t>Wilco Kelderman</t>
  </si>
  <si>
    <t>Mikel Landa</t>
  </si>
  <si>
    <t>Michal Kwiatkowski</t>
  </si>
  <si>
    <t>Ilan Van Wilder</t>
  </si>
  <si>
    <t>Alex Aranburu</t>
  </si>
  <si>
    <t>29 min Wereldrecord</t>
  </si>
  <si>
    <t>Frank Van Den Broek</t>
  </si>
  <si>
    <t>Victor Campenaerts</t>
  </si>
  <si>
    <t>Steff Cras</t>
  </si>
  <si>
    <t>Richard Carapazz</t>
  </si>
  <si>
    <t>Guillaume Martin</t>
  </si>
  <si>
    <t>Jonas Abrahamsen</t>
  </si>
  <si>
    <t>Kevin Vauquelin</t>
  </si>
  <si>
    <t>Quentin Pacher</t>
  </si>
  <si>
    <t>Cristian Rodriguez</t>
  </si>
  <si>
    <t>Harold Tejada</t>
  </si>
  <si>
    <t>Nelson Oliveira</t>
  </si>
  <si>
    <t>Axel Laurance</t>
  </si>
  <si>
    <t>Mike Teunissen</t>
  </si>
  <si>
    <t>Hugo Houle</t>
  </si>
  <si>
    <t>Jordan Jegat</t>
  </si>
  <si>
    <t>Jonas Rickaert</t>
  </si>
  <si>
    <t>Anthony Turgis</t>
  </si>
  <si>
    <t>Jasper Stuyven</t>
  </si>
  <si>
    <t>Paul Lapeira</t>
  </si>
  <si>
    <t>Thomas Gachignard</t>
  </si>
  <si>
    <t>Axel Zingle</t>
  </si>
  <si>
    <t>Elmar Reinders</t>
  </si>
  <si>
    <t>Oliver Naessen</t>
  </si>
  <si>
    <t>Gregor Muhlberger</t>
  </si>
  <si>
    <t>Arnaud Demare</t>
  </si>
  <si>
    <t>Stefan Bissegger</t>
  </si>
  <si>
    <t>Cedric Beullens</t>
  </si>
  <si>
    <t>Ryan Gibbons</t>
  </si>
  <si>
    <t>Alexis Renard</t>
  </si>
  <si>
    <t>Guillaume Boivin</t>
  </si>
  <si>
    <t>Sandy Dujardin</t>
  </si>
  <si>
    <t>Daniel McLay</t>
  </si>
  <si>
    <t>Cees Bol</t>
  </si>
  <si>
    <t>Piet Allegaert</t>
  </si>
  <si>
    <t>Clement Russo</t>
  </si>
  <si>
    <t>Oliver Naesen</t>
  </si>
  <si>
    <t>Amaury Capiot</t>
  </si>
  <si>
    <t>Michael Morkov</t>
  </si>
  <si>
    <t>Bruno Armirail</t>
  </si>
  <si>
    <t>Raul Garcia</t>
  </si>
  <si>
    <t>Soren Kragh Andersen</t>
  </si>
  <si>
    <t>Nikias Arndt</t>
  </si>
  <si>
    <t>Bob Jungels</t>
  </si>
  <si>
    <t>Javier Romo</t>
  </si>
  <si>
    <t>Rasmus Tiller</t>
  </si>
  <si>
    <t>Rui Costa</t>
  </si>
  <si>
    <t>Jakob Fuglsang</t>
  </si>
  <si>
    <t>Hugo Page</t>
  </si>
  <si>
    <t>Gianni Vermeersch</t>
  </si>
  <si>
    <t>Lukas Mezgec</t>
  </si>
  <si>
    <t>John Degenkolb</t>
  </si>
  <si>
    <t>Daniel Mclay</t>
  </si>
  <si>
    <t>Odd Christian Eiking</t>
  </si>
  <si>
    <t>Carlos Verona</t>
  </si>
  <si>
    <t>Bram Welten</t>
  </si>
  <si>
    <t>Julien Bernard</t>
  </si>
  <si>
    <t>Luka Mezgec</t>
  </si>
  <si>
    <t>Jake Stewart</t>
  </si>
  <si>
    <t>Laurenz Rex</t>
  </si>
  <si>
    <t>Valentin Madouas</t>
  </si>
  <si>
    <t>Jordan Tegat</t>
  </si>
  <si>
    <t>Georg Zimmermann</t>
  </si>
  <si>
    <t>Chris Harper</t>
  </si>
  <si>
    <t>Laurens De Plus</t>
  </si>
  <si>
    <t>Stephen Williams</t>
  </si>
  <si>
    <t>Johannes Kulset</t>
  </si>
  <si>
    <t>Harm Vanhoucke</t>
  </si>
  <si>
    <t>Marco Haller</t>
  </si>
  <si>
    <t>Matteo Vercher</t>
  </si>
  <si>
    <t>Bart Lemmen</t>
  </si>
  <si>
    <t>Krists Neilands</t>
  </si>
  <si>
    <t>Dorian Godon</t>
  </si>
  <si>
    <t>Mathieu Burgaudeau</t>
  </si>
  <si>
    <t>Sean Quinn</t>
  </si>
  <si>
    <t>Cristian Rodirguez</t>
  </si>
  <si>
    <t>Kevin Geniets</t>
  </si>
  <si>
    <t>Matteo Sobrero</t>
  </si>
  <si>
    <t>Jan Tratnik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</si>
</sst>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20"/>
      <color theme="1"/>
      <name val="Century Gothic"/>
      <family val="2"/>
    </font>
    <font>
      <b/>
      <sz val="11"/>
      <color theme="1"/>
      <name val="Century Gothic"/>
      <family val="2"/>
    </font>
    <font>
      <b/>
      <sz val="15"/>
      <color theme="1"/>
      <name val="Century Gothic"/>
      <family val="2"/>
    </font>
    <font>
      <b/>
      <sz val="25"/>
      <color rgb="FFFFFFFF"/>
      <name val="Century Gothic"/>
      <family val="2"/>
    </font>
    <font>
      <b/>
      <sz val="11"/>
      <color rgb="FFFF0000"/>
      <name val="Century Gothic"/>
      <family val="2"/>
    </font>
    <font>
      <b/>
      <sz val="11"/>
      <color rgb="FF00FF00"/>
      <name val="Century Gothic"/>
      <family val="2"/>
    </font>
    <font>
      <b/>
      <sz val="11"/>
      <color rgb="FF0000FF"/>
      <name val="Century Gothic"/>
      <family val="2"/>
    </font>
    <font>
      <b/>
      <sz val="11"/>
      <color rgb="FFFFFFFF"/>
      <name val="Century Gothic"/>
      <family val="2"/>
    </font>
    <font>
      <sz val="11"/>
      <color rgb="FF0000FF"/>
      <name val="Century Gothic"/>
      <family val="2"/>
    </font>
    <font>
      <sz val="8"/>
      <name val="Calibri"/>
      <scheme val="minor"/>
    </font>
    <font>
      <b/>
      <sz val="11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0C0C0C"/>
        <bgColor rgb="FF0C0C0C"/>
      </patternFill>
    </fill>
    <fill>
      <patternFill patternType="solid">
        <fgColor rgb="FFECECEC"/>
        <bgColor rgb="FFECECEC"/>
      </patternFill>
    </fill>
    <fill>
      <patternFill patternType="solid">
        <fgColor rgb="FF3D85C6"/>
        <bgColor rgb="FF3D85C6"/>
      </patternFill>
    </fill>
    <fill>
      <patternFill patternType="solid">
        <fgColor rgb="FFE69138"/>
        <bgColor rgb="FFE69138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6AA84F"/>
        <bgColor rgb="FF6AA84F"/>
      </patternFill>
    </fill>
    <fill>
      <patternFill patternType="solid">
        <fgColor rgb="FFBF9000"/>
        <bgColor rgb="FFBF900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64D79"/>
        <bgColor rgb="FFA64D79"/>
      </patternFill>
    </fill>
    <fill>
      <patternFill patternType="solid">
        <fgColor rgb="FFD5A6BD"/>
        <bgColor rgb="FFD5A6BD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rgb="FF9FC5E8"/>
      </patternFill>
    </fill>
    <fill>
      <patternFill patternType="solid">
        <fgColor theme="6" tint="0.39997558519241921"/>
        <bgColor rgb="FFB6D7A8"/>
      </patternFill>
    </fill>
    <fill>
      <patternFill patternType="solid">
        <fgColor theme="3" tint="0.14999847407452621"/>
        <bgColor rgb="FF9FC5E8"/>
      </patternFill>
    </fill>
    <fill>
      <patternFill patternType="solid">
        <fgColor theme="3" tint="0.14999847407452621"/>
        <bgColor rgb="FFF9CB9C"/>
      </patternFill>
    </fill>
    <fill>
      <patternFill patternType="solid">
        <fgColor theme="3" tint="0.14999847407452621"/>
        <bgColor rgb="FFB6D7A8"/>
      </patternFill>
    </fill>
    <fill>
      <patternFill patternType="solid">
        <fgColor theme="3" tint="0.14999847407452621"/>
        <bgColor rgb="FFD5A6BD"/>
      </patternFill>
    </fill>
    <fill>
      <patternFill patternType="solid">
        <fgColor rgb="FFFF00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4998626667073579"/>
        <bgColor rgb="FFB6D7A8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66FF"/>
        <bgColor indexed="6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6" fillId="0" borderId="0" xfId="0" applyFont="1"/>
    <xf numFmtId="0" fontId="6" fillId="3" borderId="2" xfId="0" applyFont="1" applyFill="1" applyBorder="1"/>
    <xf numFmtId="0" fontId="6" fillId="3" borderId="3" xfId="0" applyFont="1" applyFill="1" applyBorder="1"/>
    <xf numFmtId="0" fontId="6" fillId="3" borderId="4" xfId="0" applyFont="1" applyFill="1" applyBorder="1"/>
    <xf numFmtId="0" fontId="6" fillId="3" borderId="5" xfId="0" applyFont="1" applyFill="1" applyBorder="1"/>
    <xf numFmtId="0" fontId="8" fillId="3" borderId="3" xfId="0" applyFont="1" applyFill="1" applyBorder="1"/>
    <xf numFmtId="0" fontId="6" fillId="6" borderId="6" xfId="0" applyFont="1" applyFill="1" applyBorder="1"/>
    <xf numFmtId="0" fontId="9" fillId="3" borderId="7" xfId="0" applyFont="1" applyFill="1" applyBorder="1"/>
    <xf numFmtId="0" fontId="9" fillId="3" borderId="8" xfId="0" applyFont="1" applyFill="1" applyBorder="1"/>
    <xf numFmtId="0" fontId="9" fillId="3" borderId="9" xfId="0" applyFont="1" applyFill="1" applyBorder="1"/>
    <xf numFmtId="0" fontId="6" fillId="3" borderId="10" xfId="0" applyFont="1" applyFill="1" applyBorder="1"/>
    <xf numFmtId="0" fontId="6" fillId="7" borderId="6" xfId="0" applyFont="1" applyFill="1" applyBorder="1"/>
    <xf numFmtId="0" fontId="6" fillId="11" borderId="6" xfId="0" applyFont="1" applyFill="1" applyBorder="1"/>
    <xf numFmtId="0" fontId="6" fillId="7" borderId="11" xfId="0" applyFont="1" applyFill="1" applyBorder="1"/>
    <xf numFmtId="0" fontId="6" fillId="11" borderId="11" xfId="0" applyFont="1" applyFill="1" applyBorder="1"/>
    <xf numFmtId="0" fontId="8" fillId="11" borderId="11" xfId="0" applyFont="1" applyFill="1" applyBorder="1"/>
    <xf numFmtId="0" fontId="10" fillId="2" borderId="1" xfId="0" applyFont="1" applyFill="1" applyBorder="1"/>
    <xf numFmtId="0" fontId="6" fillId="13" borderId="12" xfId="0" applyFont="1" applyFill="1" applyBorder="1"/>
    <xf numFmtId="0" fontId="6" fillId="3" borderId="13" xfId="0" applyFont="1" applyFill="1" applyBorder="1"/>
    <xf numFmtId="0" fontId="7" fillId="4" borderId="14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7" fillId="8" borderId="15" xfId="0" applyFont="1" applyFill="1" applyBorder="1" applyAlignment="1">
      <alignment horizontal="center"/>
    </xf>
    <xf numFmtId="0" fontId="7" fillId="12" borderId="16" xfId="0" applyFont="1" applyFill="1" applyBorder="1" applyAlignment="1">
      <alignment horizontal="center"/>
    </xf>
    <xf numFmtId="0" fontId="7" fillId="9" borderId="17" xfId="0" applyFont="1" applyFill="1" applyBorder="1" applyAlignment="1">
      <alignment horizontal="center"/>
    </xf>
    <xf numFmtId="0" fontId="6" fillId="3" borderId="18" xfId="0" applyFont="1" applyFill="1" applyBorder="1"/>
    <xf numFmtId="0" fontId="6" fillId="3" borderId="19" xfId="0" applyFont="1" applyFill="1" applyBorder="1"/>
    <xf numFmtId="0" fontId="6" fillId="3" borderId="18" xfId="0" applyFont="1" applyFill="1" applyBorder="1" applyAlignment="1">
      <alignment horizontal="center"/>
    </xf>
    <xf numFmtId="0" fontId="6" fillId="10" borderId="20" xfId="0" applyFont="1" applyFill="1" applyBorder="1"/>
    <xf numFmtId="0" fontId="6" fillId="3" borderId="21" xfId="0" applyFont="1" applyFill="1" applyBorder="1" applyAlignment="1">
      <alignment horizontal="center"/>
    </xf>
    <xf numFmtId="0" fontId="6" fillId="3" borderId="22" xfId="0" applyFont="1" applyFill="1" applyBorder="1"/>
    <xf numFmtId="0" fontId="6" fillId="3" borderId="23" xfId="0" applyFont="1" applyFill="1" applyBorder="1"/>
    <xf numFmtId="0" fontId="6" fillId="0" borderId="5" xfId="0" applyFont="1" applyBorder="1"/>
    <xf numFmtId="0" fontId="0" fillId="0" borderId="26" xfId="0" applyBorder="1"/>
    <xf numFmtId="0" fontId="0" fillId="0" borderId="27" xfId="0" applyBorder="1"/>
    <xf numFmtId="0" fontId="0" fillId="0" borderId="5" xfId="0" applyBorder="1"/>
    <xf numFmtId="0" fontId="8" fillId="9" borderId="28" xfId="0" applyFont="1" applyFill="1" applyBorder="1" applyAlignment="1">
      <alignment horizontal="center"/>
    </xf>
    <xf numFmtId="0" fontId="6" fillId="10" borderId="29" xfId="0" applyFont="1" applyFill="1" applyBorder="1"/>
    <xf numFmtId="0" fontId="6" fillId="10" borderId="30" xfId="0" applyFont="1" applyFill="1" applyBorder="1"/>
    <xf numFmtId="0" fontId="8" fillId="10" borderId="30" xfId="0" applyFont="1" applyFill="1" applyBorder="1"/>
    <xf numFmtId="0" fontId="6" fillId="10" borderId="9" xfId="0" applyFont="1" applyFill="1" applyBorder="1"/>
    <xf numFmtId="0" fontId="8" fillId="4" borderId="31" xfId="0" applyFont="1" applyFill="1" applyBorder="1" applyAlignment="1">
      <alignment horizontal="center"/>
    </xf>
    <xf numFmtId="0" fontId="8" fillId="5" borderId="15" xfId="0" applyFont="1" applyFill="1" applyBorder="1" applyAlignment="1">
      <alignment horizontal="center"/>
    </xf>
    <xf numFmtId="0" fontId="8" fillId="8" borderId="15" xfId="0" applyFont="1" applyFill="1" applyBorder="1" applyAlignment="1">
      <alignment horizontal="center"/>
    </xf>
    <xf numFmtId="0" fontId="8" fillId="12" borderId="17" xfId="0" applyFont="1" applyFill="1" applyBorder="1" applyAlignment="1">
      <alignment horizontal="center"/>
    </xf>
    <xf numFmtId="0" fontId="6" fillId="6" borderId="18" xfId="0" applyFont="1" applyFill="1" applyBorder="1"/>
    <xf numFmtId="0" fontId="6" fillId="13" borderId="32" xfId="0" applyFont="1" applyFill="1" applyBorder="1"/>
    <xf numFmtId="0" fontId="8" fillId="13" borderId="32" xfId="0" applyFont="1" applyFill="1" applyBorder="1"/>
    <xf numFmtId="0" fontId="0" fillId="15" borderId="0" xfId="0" applyFill="1"/>
    <xf numFmtId="0" fontId="0" fillId="0" borderId="18" xfId="0" applyBorder="1"/>
    <xf numFmtId="0" fontId="0" fillId="0" borderId="21" xfId="0" applyBorder="1"/>
    <xf numFmtId="0" fontId="0" fillId="0" borderId="19" xfId="0" applyBorder="1"/>
    <xf numFmtId="0" fontId="0" fillId="0" borderId="23" xfId="0" applyBorder="1"/>
    <xf numFmtId="0" fontId="0" fillId="0" borderId="13" xfId="0" applyBorder="1"/>
    <xf numFmtId="0" fontId="0" fillId="0" borderId="34" xfId="0" applyBorder="1"/>
    <xf numFmtId="0" fontId="5" fillId="0" borderId="25" xfId="0" applyFont="1" applyBorder="1"/>
    <xf numFmtId="0" fontId="5" fillId="0" borderId="26" xfId="0" applyFont="1" applyBorder="1"/>
    <xf numFmtId="0" fontId="0" fillId="0" borderId="33" xfId="0" applyBorder="1"/>
    <xf numFmtId="0" fontId="0" fillId="0" borderId="22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25" xfId="0" applyBorder="1"/>
    <xf numFmtId="0" fontId="0" fillId="17" borderId="27" xfId="0" applyFill="1" applyBorder="1"/>
    <xf numFmtId="0" fontId="0" fillId="18" borderId="26" xfId="0" applyFill="1" applyBorder="1"/>
    <xf numFmtId="0" fontId="0" fillId="18" borderId="25" xfId="0" applyFill="1" applyBorder="1"/>
    <xf numFmtId="0" fontId="0" fillId="18" borderId="18" xfId="0" applyFill="1" applyBorder="1"/>
    <xf numFmtId="0" fontId="0" fillId="17" borderId="18" xfId="0" applyFill="1" applyBorder="1"/>
    <xf numFmtId="0" fontId="5" fillId="0" borderId="5" xfId="0" applyFont="1" applyBorder="1" applyAlignment="1">
      <alignment horizontal="center"/>
    </xf>
    <xf numFmtId="0" fontId="5" fillId="0" borderId="24" xfId="0" applyFont="1" applyBorder="1"/>
    <xf numFmtId="0" fontId="5" fillId="15" borderId="0" xfId="0" applyFont="1" applyFill="1"/>
    <xf numFmtId="0" fontId="5" fillId="0" borderId="27" xfId="0" applyFont="1" applyBorder="1"/>
    <xf numFmtId="0" fontId="5" fillId="0" borderId="33" xfId="0" applyFont="1" applyBorder="1"/>
    <xf numFmtId="0" fontId="5" fillId="0" borderId="34" xfId="0" applyFont="1" applyBorder="1"/>
    <xf numFmtId="0" fontId="5" fillId="0" borderId="0" xfId="0" applyFont="1"/>
    <xf numFmtId="0" fontId="5" fillId="0" borderId="13" xfId="0" applyFont="1" applyBorder="1"/>
    <xf numFmtId="0" fontId="5" fillId="0" borderId="5" xfId="0" applyFont="1" applyBorder="1"/>
    <xf numFmtId="0" fontId="5" fillId="0" borderId="19" xfId="0" applyFont="1" applyBorder="1"/>
    <xf numFmtId="0" fontId="5" fillId="0" borderId="18" xfId="0" applyFont="1" applyBorder="1"/>
    <xf numFmtId="0" fontId="6" fillId="19" borderId="6" xfId="0" applyFont="1" applyFill="1" applyBorder="1"/>
    <xf numFmtId="0" fontId="6" fillId="20" borderId="6" xfId="0" applyFont="1" applyFill="1" applyBorder="1"/>
    <xf numFmtId="0" fontId="6" fillId="21" borderId="6" xfId="0" applyFont="1" applyFill="1" applyBorder="1"/>
    <xf numFmtId="0" fontId="6" fillId="22" borderId="6" xfId="0" applyFont="1" applyFill="1" applyBorder="1"/>
    <xf numFmtId="0" fontId="6" fillId="23" borderId="6" xfId="0" applyFont="1" applyFill="1" applyBorder="1"/>
    <xf numFmtId="0" fontId="6" fillId="24" borderId="12" xfId="0" applyFont="1" applyFill="1" applyBorder="1"/>
    <xf numFmtId="0" fontId="0" fillId="25" borderId="22" xfId="0" applyFill="1" applyBorder="1"/>
    <xf numFmtId="0" fontId="0" fillId="17" borderId="35" xfId="0" applyFill="1" applyBorder="1"/>
    <xf numFmtId="0" fontId="0" fillId="17" borderId="36" xfId="0" applyFill="1" applyBorder="1"/>
    <xf numFmtId="0" fontId="0" fillId="17" borderId="37" xfId="0" applyFill="1" applyBorder="1"/>
    <xf numFmtId="0" fontId="0" fillId="14" borderId="25" xfId="0" applyFill="1" applyBorder="1"/>
    <xf numFmtId="0" fontId="0" fillId="14" borderId="26" xfId="0" applyFill="1" applyBorder="1"/>
    <xf numFmtId="0" fontId="0" fillId="14" borderId="27" xfId="0" applyFill="1" applyBorder="1"/>
    <xf numFmtId="0" fontId="0" fillId="25" borderId="25" xfId="0" applyFill="1" applyBorder="1"/>
    <xf numFmtId="0" fontId="0" fillId="25" borderId="26" xfId="0" applyFill="1" applyBorder="1"/>
    <xf numFmtId="0" fontId="0" fillId="25" borderId="27" xfId="0" applyFill="1" applyBorder="1"/>
    <xf numFmtId="0" fontId="0" fillId="18" borderId="27" xfId="0" applyFill="1" applyBorder="1"/>
    <xf numFmtId="0" fontId="0" fillId="26" borderId="25" xfId="0" applyFill="1" applyBorder="1"/>
    <xf numFmtId="0" fontId="0" fillId="26" borderId="26" xfId="0" applyFill="1" applyBorder="1"/>
    <xf numFmtId="0" fontId="0" fillId="26" borderId="27" xfId="0" applyFill="1" applyBorder="1"/>
    <xf numFmtId="0" fontId="0" fillId="27" borderId="25" xfId="0" applyFill="1" applyBorder="1"/>
    <xf numFmtId="0" fontId="0" fillId="27" borderId="26" xfId="0" applyFill="1" applyBorder="1"/>
    <xf numFmtId="0" fontId="0" fillId="27" borderId="27" xfId="0" applyFill="1" applyBorder="1"/>
    <xf numFmtId="0" fontId="0" fillId="27" borderId="33" xfId="0" applyFill="1" applyBorder="1"/>
    <xf numFmtId="0" fontId="0" fillId="27" borderId="5" xfId="0" applyFill="1" applyBorder="1"/>
    <xf numFmtId="0" fontId="17" fillId="28" borderId="0" xfId="0" applyFont="1" applyFill="1"/>
    <xf numFmtId="0" fontId="17" fillId="28" borderId="0" xfId="0" applyFont="1" applyFill="1" applyAlignment="1">
      <alignment wrapText="1"/>
    </xf>
    <xf numFmtId="0" fontId="0" fillId="14" borderId="25" xfId="0" applyFill="1" applyBorder="1" applyAlignment="1">
      <alignment horizontal="right"/>
    </xf>
    <xf numFmtId="0" fontId="0" fillId="18" borderId="25" xfId="0" applyFill="1" applyBorder="1" applyAlignment="1">
      <alignment horizontal="right"/>
    </xf>
    <xf numFmtId="0" fontId="0" fillId="25" borderId="25" xfId="0" applyFill="1" applyBorder="1" applyAlignment="1">
      <alignment horizontal="right"/>
    </xf>
    <xf numFmtId="0" fontId="0" fillId="26" borderId="25" xfId="0" applyFill="1" applyBorder="1" applyAlignment="1">
      <alignment horizontal="right"/>
    </xf>
    <xf numFmtId="0" fontId="0" fillId="14" borderId="26" xfId="0" applyFill="1" applyBorder="1" applyAlignment="1">
      <alignment horizontal="right"/>
    </xf>
    <xf numFmtId="0" fontId="0" fillId="18" borderId="26" xfId="0" applyFill="1" applyBorder="1" applyAlignment="1">
      <alignment horizontal="right"/>
    </xf>
    <xf numFmtId="0" fontId="0" fillId="25" borderId="26" xfId="0" applyFill="1" applyBorder="1" applyAlignment="1">
      <alignment horizontal="right"/>
    </xf>
    <xf numFmtId="0" fontId="0" fillId="26" borderId="26" xfId="0" applyFill="1" applyBorder="1" applyAlignment="1">
      <alignment horizontal="right"/>
    </xf>
    <xf numFmtId="0" fontId="0" fillId="14" borderId="27" xfId="0" applyFill="1" applyBorder="1" applyAlignment="1">
      <alignment horizontal="right"/>
    </xf>
    <xf numFmtId="0" fontId="0" fillId="18" borderId="27" xfId="0" applyFill="1" applyBorder="1" applyAlignment="1">
      <alignment horizontal="right"/>
    </xf>
    <xf numFmtId="0" fontId="0" fillId="25" borderId="27" xfId="0" applyFill="1" applyBorder="1" applyAlignment="1">
      <alignment horizontal="right"/>
    </xf>
    <xf numFmtId="0" fontId="0" fillId="26" borderId="27" xfId="0" applyFill="1" applyBorder="1" applyAlignment="1">
      <alignment horizontal="right"/>
    </xf>
    <xf numFmtId="0" fontId="0" fillId="0" borderId="0" xfId="0" applyAlignment="1">
      <alignment horizontal="right"/>
    </xf>
    <xf numFmtId="0" fontId="0" fillId="27" borderId="25" xfId="0" applyFill="1" applyBorder="1" applyAlignment="1">
      <alignment horizontal="right"/>
    </xf>
    <xf numFmtId="0" fontId="0" fillId="27" borderId="33" xfId="0" applyFill="1" applyBorder="1" applyAlignment="1">
      <alignment horizontal="right"/>
    </xf>
    <xf numFmtId="0" fontId="0" fillId="27" borderId="26" xfId="0" applyFill="1" applyBorder="1" applyAlignment="1">
      <alignment horizontal="right"/>
    </xf>
    <xf numFmtId="0" fontId="0" fillId="27" borderId="5" xfId="0" applyFill="1" applyBorder="1" applyAlignment="1">
      <alignment horizontal="right"/>
    </xf>
    <xf numFmtId="0" fontId="0" fillId="25" borderId="22" xfId="0" applyFill="1" applyBorder="1" applyAlignment="1">
      <alignment horizontal="right"/>
    </xf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6" fillId="29" borderId="6" xfId="0" applyFont="1" applyFill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0" fillId="30" borderId="25" xfId="0" applyFill="1" applyBorder="1"/>
    <xf numFmtId="0" fontId="0" fillId="31" borderId="27" xfId="0" applyFill="1" applyBorder="1"/>
    <xf numFmtId="0" fontId="0" fillId="31" borderId="26" xfId="0" applyFill="1" applyBorder="1"/>
    <xf numFmtId="0" fontId="0" fillId="30" borderId="27" xfId="0" applyFill="1" applyBorder="1"/>
    <xf numFmtId="0" fontId="0" fillId="17" borderId="26" xfId="0" applyFill="1" applyBorder="1"/>
    <xf numFmtId="0" fontId="0" fillId="16" borderId="21" xfId="0" applyFill="1" applyBorder="1"/>
    <xf numFmtId="0" fontId="0" fillId="30" borderId="18" xfId="0" applyFill="1" applyBorder="1"/>
    <xf numFmtId="0" fontId="5" fillId="14" borderId="5" xfId="0" applyFont="1" applyFill="1" applyBorder="1" applyAlignment="1">
      <alignment horizontal="center"/>
    </xf>
  </cellXfs>
  <cellStyles count="1">
    <cellStyle name="Standaard" xfId="0" builtinId="0"/>
  </cellStyles>
  <dxfs count="21">
    <dxf>
      <fill>
        <patternFill>
          <bgColor rgb="FFCC99FF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CC99FF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CC99FF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CC99FF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CC99FF"/>
        </patternFill>
      </fill>
    </dxf>
  </dxfs>
  <tableStyles count="0" defaultTableStyle="TableStyleMedium2" defaultPivotStyle="PivotStyleLight16"/>
  <colors>
    <mruColors>
      <color rgb="FFCC99FF"/>
      <color rgb="FF9966FF"/>
      <color rgb="FFFF0066"/>
      <color rgb="FF9933FF"/>
      <color rgb="FF3366FF"/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Punten-evolutie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'TOUR PUNTEN'!$D$26</c:f>
              <c:strCache>
                <c:ptCount val="1"/>
                <c:pt idx="0">
                  <c:v>Roel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'TOUR PUNTEN'!$C$27:$C$45</c:f>
              <c:strCache>
                <c:ptCount val="19"/>
                <c:pt idx="0">
                  <c:v>Rit 1</c:v>
                </c:pt>
                <c:pt idx="1">
                  <c:v>Rit 2</c:v>
                </c:pt>
                <c:pt idx="2">
                  <c:v>Rit 3</c:v>
                </c:pt>
                <c:pt idx="3">
                  <c:v>Rit 4</c:v>
                </c:pt>
                <c:pt idx="4">
                  <c:v>Rit 5</c:v>
                </c:pt>
                <c:pt idx="5">
                  <c:v>Rit 6</c:v>
                </c:pt>
                <c:pt idx="6">
                  <c:v>Rit 7</c:v>
                </c:pt>
                <c:pt idx="7">
                  <c:v>Rit 8</c:v>
                </c:pt>
                <c:pt idx="8">
                  <c:v>Rit 9</c:v>
                </c:pt>
                <c:pt idx="9">
                  <c:v>Rit 10</c:v>
                </c:pt>
                <c:pt idx="10">
                  <c:v>Rit 11</c:v>
                </c:pt>
                <c:pt idx="11">
                  <c:v>Rit 12</c:v>
                </c:pt>
                <c:pt idx="12">
                  <c:v>Rit 13</c:v>
                </c:pt>
                <c:pt idx="13">
                  <c:v>Rit 14</c:v>
                </c:pt>
                <c:pt idx="14">
                  <c:v>Rit 15</c:v>
                </c:pt>
                <c:pt idx="15">
                  <c:v>Rit 16</c:v>
                </c:pt>
                <c:pt idx="16">
                  <c:v>Rit 17</c:v>
                </c:pt>
                <c:pt idx="17">
                  <c:v>Rit 18</c:v>
                </c:pt>
                <c:pt idx="18">
                  <c:v>Rit 19</c:v>
                </c:pt>
              </c:strCache>
            </c:strRef>
          </c:cat>
          <c:val>
            <c:numRef>
              <c:f>'TOUR PUNTEN'!$D$27:$D$45</c:f>
              <c:numCache>
                <c:formatCode>General</c:formatCode>
                <c:ptCount val="19"/>
                <c:pt idx="0">
                  <c:v>140</c:v>
                </c:pt>
                <c:pt idx="1">
                  <c:v>34</c:v>
                </c:pt>
                <c:pt idx="2">
                  <c:v>15</c:v>
                </c:pt>
                <c:pt idx="3">
                  <c:v>162</c:v>
                </c:pt>
                <c:pt idx="4">
                  <c:v>45</c:v>
                </c:pt>
                <c:pt idx="5">
                  <c:v>75</c:v>
                </c:pt>
                <c:pt idx="6">
                  <c:v>158</c:v>
                </c:pt>
                <c:pt idx="7">
                  <c:v>78</c:v>
                </c:pt>
                <c:pt idx="8">
                  <c:v>35</c:v>
                </c:pt>
                <c:pt idx="9">
                  <c:v>141</c:v>
                </c:pt>
                <c:pt idx="10">
                  <c:v>146</c:v>
                </c:pt>
                <c:pt idx="11">
                  <c:v>174</c:v>
                </c:pt>
                <c:pt idx="12">
                  <c:v>185</c:v>
                </c:pt>
                <c:pt idx="13">
                  <c:v>154</c:v>
                </c:pt>
                <c:pt idx="14">
                  <c:v>184</c:v>
                </c:pt>
                <c:pt idx="15">
                  <c:v>114</c:v>
                </c:pt>
                <c:pt idx="16">
                  <c:v>21</c:v>
                </c:pt>
                <c:pt idx="17">
                  <c:v>110</c:v>
                </c:pt>
                <c:pt idx="18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D-424F-8FD5-4721801ABFD4}"/>
            </c:ext>
          </c:extLst>
        </c:ser>
        <c:ser>
          <c:idx val="1"/>
          <c:order val="1"/>
          <c:tx>
            <c:strRef>
              <c:f>'TOUR PUNTEN'!$E$26</c:f>
              <c:strCache>
                <c:ptCount val="1"/>
                <c:pt idx="0">
                  <c:v>Casper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'TOUR PUNTEN'!$C$27:$C$45</c:f>
              <c:strCache>
                <c:ptCount val="19"/>
                <c:pt idx="0">
                  <c:v>Rit 1</c:v>
                </c:pt>
                <c:pt idx="1">
                  <c:v>Rit 2</c:v>
                </c:pt>
                <c:pt idx="2">
                  <c:v>Rit 3</c:v>
                </c:pt>
                <c:pt idx="3">
                  <c:v>Rit 4</c:v>
                </c:pt>
                <c:pt idx="4">
                  <c:v>Rit 5</c:v>
                </c:pt>
                <c:pt idx="5">
                  <c:v>Rit 6</c:v>
                </c:pt>
                <c:pt idx="6">
                  <c:v>Rit 7</c:v>
                </c:pt>
                <c:pt idx="7">
                  <c:v>Rit 8</c:v>
                </c:pt>
                <c:pt idx="8">
                  <c:v>Rit 9</c:v>
                </c:pt>
                <c:pt idx="9">
                  <c:v>Rit 10</c:v>
                </c:pt>
                <c:pt idx="10">
                  <c:v>Rit 11</c:v>
                </c:pt>
                <c:pt idx="11">
                  <c:v>Rit 12</c:v>
                </c:pt>
                <c:pt idx="12">
                  <c:v>Rit 13</c:v>
                </c:pt>
                <c:pt idx="13">
                  <c:v>Rit 14</c:v>
                </c:pt>
                <c:pt idx="14">
                  <c:v>Rit 15</c:v>
                </c:pt>
                <c:pt idx="15">
                  <c:v>Rit 16</c:v>
                </c:pt>
                <c:pt idx="16">
                  <c:v>Rit 17</c:v>
                </c:pt>
                <c:pt idx="17">
                  <c:v>Rit 18</c:v>
                </c:pt>
                <c:pt idx="18">
                  <c:v>Rit 19</c:v>
                </c:pt>
              </c:strCache>
            </c:strRef>
          </c:cat>
          <c:val>
            <c:numRef>
              <c:f>'TOUR PUNTEN'!$E$27:$E$45</c:f>
              <c:numCache>
                <c:formatCode>General</c:formatCode>
                <c:ptCount val="19"/>
                <c:pt idx="0">
                  <c:v>9</c:v>
                </c:pt>
                <c:pt idx="1">
                  <c:v>32</c:v>
                </c:pt>
                <c:pt idx="2">
                  <c:v>145</c:v>
                </c:pt>
                <c:pt idx="3">
                  <c:v>161</c:v>
                </c:pt>
                <c:pt idx="4">
                  <c:v>222</c:v>
                </c:pt>
                <c:pt idx="5">
                  <c:v>187</c:v>
                </c:pt>
                <c:pt idx="6">
                  <c:v>39</c:v>
                </c:pt>
                <c:pt idx="7">
                  <c:v>88</c:v>
                </c:pt>
                <c:pt idx="8">
                  <c:v>67</c:v>
                </c:pt>
                <c:pt idx="9">
                  <c:v>186</c:v>
                </c:pt>
                <c:pt idx="10">
                  <c:v>135</c:v>
                </c:pt>
                <c:pt idx="11">
                  <c:v>114</c:v>
                </c:pt>
                <c:pt idx="12">
                  <c:v>128</c:v>
                </c:pt>
                <c:pt idx="13">
                  <c:v>190</c:v>
                </c:pt>
                <c:pt idx="14">
                  <c:v>107</c:v>
                </c:pt>
                <c:pt idx="15">
                  <c:v>158</c:v>
                </c:pt>
                <c:pt idx="16">
                  <c:v>80</c:v>
                </c:pt>
                <c:pt idx="17">
                  <c:v>0</c:v>
                </c:pt>
                <c:pt idx="18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6D-424F-8FD5-4721801ABFD4}"/>
            </c:ext>
          </c:extLst>
        </c:ser>
        <c:ser>
          <c:idx val="2"/>
          <c:order val="2"/>
          <c:tx>
            <c:strRef>
              <c:f>'TOUR PUNTEN'!$F$26</c:f>
              <c:strCache>
                <c:ptCount val="1"/>
                <c:pt idx="0">
                  <c:v>Jonas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'TOUR PUNTEN'!$C$27:$C$45</c:f>
              <c:strCache>
                <c:ptCount val="19"/>
                <c:pt idx="0">
                  <c:v>Rit 1</c:v>
                </c:pt>
                <c:pt idx="1">
                  <c:v>Rit 2</c:v>
                </c:pt>
                <c:pt idx="2">
                  <c:v>Rit 3</c:v>
                </c:pt>
                <c:pt idx="3">
                  <c:v>Rit 4</c:v>
                </c:pt>
                <c:pt idx="4">
                  <c:v>Rit 5</c:v>
                </c:pt>
                <c:pt idx="5">
                  <c:v>Rit 6</c:v>
                </c:pt>
                <c:pt idx="6">
                  <c:v>Rit 7</c:v>
                </c:pt>
                <c:pt idx="7">
                  <c:v>Rit 8</c:v>
                </c:pt>
                <c:pt idx="8">
                  <c:v>Rit 9</c:v>
                </c:pt>
                <c:pt idx="9">
                  <c:v>Rit 10</c:v>
                </c:pt>
                <c:pt idx="10">
                  <c:v>Rit 11</c:v>
                </c:pt>
                <c:pt idx="11">
                  <c:v>Rit 12</c:v>
                </c:pt>
                <c:pt idx="12">
                  <c:v>Rit 13</c:v>
                </c:pt>
                <c:pt idx="13">
                  <c:v>Rit 14</c:v>
                </c:pt>
                <c:pt idx="14">
                  <c:v>Rit 15</c:v>
                </c:pt>
                <c:pt idx="15">
                  <c:v>Rit 16</c:v>
                </c:pt>
                <c:pt idx="16">
                  <c:v>Rit 17</c:v>
                </c:pt>
                <c:pt idx="17">
                  <c:v>Rit 18</c:v>
                </c:pt>
                <c:pt idx="18">
                  <c:v>Rit 19</c:v>
                </c:pt>
              </c:strCache>
            </c:strRef>
          </c:cat>
          <c:val>
            <c:numRef>
              <c:f>'TOUR PUNTEN'!$F$27:$F$45</c:f>
              <c:numCache>
                <c:formatCode>General</c:formatCode>
                <c:ptCount val="19"/>
                <c:pt idx="0">
                  <c:v>83</c:v>
                </c:pt>
                <c:pt idx="1">
                  <c:v>13</c:v>
                </c:pt>
                <c:pt idx="2">
                  <c:v>197</c:v>
                </c:pt>
                <c:pt idx="3">
                  <c:v>70</c:v>
                </c:pt>
                <c:pt idx="4">
                  <c:v>95</c:v>
                </c:pt>
                <c:pt idx="5">
                  <c:v>184</c:v>
                </c:pt>
                <c:pt idx="6">
                  <c:v>111</c:v>
                </c:pt>
                <c:pt idx="7">
                  <c:v>171</c:v>
                </c:pt>
                <c:pt idx="8">
                  <c:v>159</c:v>
                </c:pt>
                <c:pt idx="9">
                  <c:v>140</c:v>
                </c:pt>
                <c:pt idx="10">
                  <c:v>157</c:v>
                </c:pt>
                <c:pt idx="11">
                  <c:v>190</c:v>
                </c:pt>
                <c:pt idx="12">
                  <c:v>82</c:v>
                </c:pt>
                <c:pt idx="13">
                  <c:v>148</c:v>
                </c:pt>
                <c:pt idx="14">
                  <c:v>133</c:v>
                </c:pt>
                <c:pt idx="15">
                  <c:v>180</c:v>
                </c:pt>
                <c:pt idx="16">
                  <c:v>23</c:v>
                </c:pt>
                <c:pt idx="17">
                  <c:v>77</c:v>
                </c:pt>
                <c:pt idx="18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6D-424F-8FD5-4721801ABFD4}"/>
            </c:ext>
          </c:extLst>
        </c:ser>
        <c:ser>
          <c:idx val="3"/>
          <c:order val="3"/>
          <c:tx>
            <c:strRef>
              <c:f>'TOUR PUNTEN'!$G$26</c:f>
              <c:strCache>
                <c:ptCount val="1"/>
                <c:pt idx="0">
                  <c:v>Dries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'TOUR PUNTEN'!$C$27:$C$45</c:f>
              <c:strCache>
                <c:ptCount val="19"/>
                <c:pt idx="0">
                  <c:v>Rit 1</c:v>
                </c:pt>
                <c:pt idx="1">
                  <c:v>Rit 2</c:v>
                </c:pt>
                <c:pt idx="2">
                  <c:v>Rit 3</c:v>
                </c:pt>
                <c:pt idx="3">
                  <c:v>Rit 4</c:v>
                </c:pt>
                <c:pt idx="4">
                  <c:v>Rit 5</c:v>
                </c:pt>
                <c:pt idx="5">
                  <c:v>Rit 6</c:v>
                </c:pt>
                <c:pt idx="6">
                  <c:v>Rit 7</c:v>
                </c:pt>
                <c:pt idx="7">
                  <c:v>Rit 8</c:v>
                </c:pt>
                <c:pt idx="8">
                  <c:v>Rit 9</c:v>
                </c:pt>
                <c:pt idx="9">
                  <c:v>Rit 10</c:v>
                </c:pt>
                <c:pt idx="10">
                  <c:v>Rit 11</c:v>
                </c:pt>
                <c:pt idx="11">
                  <c:v>Rit 12</c:v>
                </c:pt>
                <c:pt idx="12">
                  <c:v>Rit 13</c:v>
                </c:pt>
                <c:pt idx="13">
                  <c:v>Rit 14</c:v>
                </c:pt>
                <c:pt idx="14">
                  <c:v>Rit 15</c:v>
                </c:pt>
                <c:pt idx="15">
                  <c:v>Rit 16</c:v>
                </c:pt>
                <c:pt idx="16">
                  <c:v>Rit 17</c:v>
                </c:pt>
                <c:pt idx="17">
                  <c:v>Rit 18</c:v>
                </c:pt>
                <c:pt idx="18">
                  <c:v>Rit 19</c:v>
                </c:pt>
              </c:strCache>
            </c:strRef>
          </c:cat>
          <c:val>
            <c:numRef>
              <c:f>'TOUR PUNTEN'!$G$27:$G$45</c:f>
              <c:numCache>
                <c:formatCode>General</c:formatCode>
                <c:ptCount val="19"/>
                <c:pt idx="0">
                  <c:v>199</c:v>
                </c:pt>
                <c:pt idx="1">
                  <c:v>36</c:v>
                </c:pt>
                <c:pt idx="2">
                  <c:v>105</c:v>
                </c:pt>
                <c:pt idx="3">
                  <c:v>145</c:v>
                </c:pt>
                <c:pt idx="4">
                  <c:v>101</c:v>
                </c:pt>
                <c:pt idx="5">
                  <c:v>70</c:v>
                </c:pt>
                <c:pt idx="6">
                  <c:v>192</c:v>
                </c:pt>
                <c:pt idx="7">
                  <c:v>102</c:v>
                </c:pt>
                <c:pt idx="8">
                  <c:v>27</c:v>
                </c:pt>
                <c:pt idx="9">
                  <c:v>54</c:v>
                </c:pt>
                <c:pt idx="10">
                  <c:v>130</c:v>
                </c:pt>
                <c:pt idx="11">
                  <c:v>69</c:v>
                </c:pt>
                <c:pt idx="12">
                  <c:v>24</c:v>
                </c:pt>
                <c:pt idx="13">
                  <c:v>93</c:v>
                </c:pt>
                <c:pt idx="14">
                  <c:v>165</c:v>
                </c:pt>
                <c:pt idx="15">
                  <c:v>65</c:v>
                </c:pt>
                <c:pt idx="16">
                  <c:v>140</c:v>
                </c:pt>
                <c:pt idx="17">
                  <c:v>35</c:v>
                </c:pt>
                <c:pt idx="18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6D-424F-8FD5-4721801AB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7928303"/>
        <c:axId val="1847928719"/>
      </c:barChart>
      <c:catAx>
        <c:axId val="18479283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847928719"/>
        <c:crosses val="autoZero"/>
        <c:auto val="1"/>
        <c:lblAlgn val="ctr"/>
        <c:lblOffset val="100"/>
        <c:noMultiLvlLbl val="0"/>
      </c:catAx>
      <c:valAx>
        <c:axId val="184792871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84792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8</xdr:row>
      <xdr:rowOff>32657</xdr:rowOff>
    </xdr:from>
    <xdr:ext cx="1400174" cy="4301217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1632857"/>
          <a:ext cx="1400174" cy="430121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4354</xdr:rowOff>
    </xdr:from>
    <xdr:ext cx="3009900" cy="4453345"/>
    <xdr:pic>
      <xdr:nvPicPr>
        <xdr:cNvPr id="4" name="image5.png" title="Afbeeldi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9548404"/>
          <a:ext cx="3009900" cy="445334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252411</xdr:colOff>
      <xdr:row>0</xdr:row>
      <xdr:rowOff>47624</xdr:rowOff>
    </xdr:from>
    <xdr:to>
      <xdr:col>15</xdr:col>
      <xdr:colOff>200025</xdr:colOff>
      <xdr:row>28</xdr:row>
      <xdr:rowOff>152399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A51B7EA0-001C-563F-6699-E61F1561CD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Y1007"/>
  <sheetViews>
    <sheetView tabSelected="1" topLeftCell="A24" zoomScale="115" zoomScaleNormal="115" workbookViewId="0">
      <selection activeCell="D3" sqref="D3:D20"/>
    </sheetView>
  </sheetViews>
  <sheetFormatPr defaultColWidth="14.44140625" defaultRowHeight="15" customHeight="1" x14ac:dyDescent="0.3"/>
  <cols>
    <col min="1" max="1" width="81.33203125" bestFit="1" customWidth="1"/>
    <col min="2" max="2" width="2.6640625" customWidth="1"/>
    <col min="3" max="3" width="24.88671875" bestFit="1" customWidth="1"/>
    <col min="4" max="4" width="22.88671875" bestFit="1" customWidth="1"/>
    <col min="5" max="5" width="24.5546875" bestFit="1" customWidth="1"/>
    <col min="6" max="6" width="22.6640625" bestFit="1" customWidth="1"/>
    <col min="7" max="7" width="26.6640625" bestFit="1" customWidth="1"/>
    <col min="8" max="8" width="29.5546875" customWidth="1"/>
    <col min="9" max="9" width="8.6640625" customWidth="1"/>
    <col min="10" max="10" width="15.88671875" bestFit="1" customWidth="1"/>
    <col min="11" max="25" width="8.6640625" customWidth="1"/>
  </cols>
  <sheetData>
    <row r="1" spans="1:25" ht="32.25" customHeight="1" thickBot="1" x14ac:dyDescent="0.5">
      <c r="A1" s="17" t="s">
        <v>0</v>
      </c>
      <c r="B1" s="1"/>
      <c r="C1" s="19"/>
      <c r="D1" s="20" t="s">
        <v>4</v>
      </c>
      <c r="E1" s="21" t="s">
        <v>3</v>
      </c>
      <c r="F1" s="22" t="s">
        <v>2</v>
      </c>
      <c r="G1" s="23" t="s">
        <v>1</v>
      </c>
      <c r="H1" s="24"/>
      <c r="I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 x14ac:dyDescent="0.3">
      <c r="A2" s="3"/>
      <c r="B2" s="1"/>
      <c r="C2" s="25"/>
      <c r="D2" s="5"/>
      <c r="E2" s="5"/>
      <c r="F2" s="5"/>
      <c r="G2" s="5"/>
      <c r="H2" s="26"/>
      <c r="I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 x14ac:dyDescent="0.3">
      <c r="A3" s="6" t="s">
        <v>5</v>
      </c>
      <c r="B3" s="1"/>
      <c r="C3" s="27">
        <v>1</v>
      </c>
      <c r="D3" s="7" t="s">
        <v>64</v>
      </c>
      <c r="E3" s="12" t="s">
        <v>99</v>
      </c>
      <c r="F3" s="13" t="s">
        <v>100</v>
      </c>
      <c r="G3" s="18" t="s">
        <v>101</v>
      </c>
      <c r="H3" s="28" t="s">
        <v>161</v>
      </c>
      <c r="I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5" customHeight="1" x14ac:dyDescent="0.3">
      <c r="A4" s="3" t="s">
        <v>6</v>
      </c>
      <c r="B4" s="1"/>
      <c r="C4" s="27">
        <v>2</v>
      </c>
      <c r="D4" s="7" t="s">
        <v>105</v>
      </c>
      <c r="E4" s="12" t="s">
        <v>104</v>
      </c>
      <c r="F4" s="130" t="s">
        <v>103</v>
      </c>
      <c r="G4" s="130" t="s">
        <v>102</v>
      </c>
      <c r="H4" s="28"/>
      <c r="I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5" customHeight="1" x14ac:dyDescent="0.3">
      <c r="A5" s="3" t="s">
        <v>7</v>
      </c>
      <c r="B5" s="1"/>
      <c r="C5" s="27">
        <v>3</v>
      </c>
      <c r="D5" s="7" t="s">
        <v>106</v>
      </c>
      <c r="E5" s="130" t="s">
        <v>107</v>
      </c>
      <c r="F5" s="130" t="s">
        <v>108</v>
      </c>
      <c r="G5" s="18" t="s">
        <v>109</v>
      </c>
      <c r="H5" s="28"/>
      <c r="I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5" customHeight="1" x14ac:dyDescent="0.3">
      <c r="A6" s="3" t="s">
        <v>9</v>
      </c>
      <c r="B6" s="1"/>
      <c r="C6" s="27">
        <v>4</v>
      </c>
      <c r="D6" s="7" t="s">
        <v>112</v>
      </c>
      <c r="E6" s="12" t="s">
        <v>111</v>
      </c>
      <c r="F6" s="130" t="s">
        <v>67</v>
      </c>
      <c r="G6" s="18" t="s">
        <v>110</v>
      </c>
      <c r="H6" s="28"/>
      <c r="I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5" customHeight="1" x14ac:dyDescent="0.3">
      <c r="A7" s="3"/>
      <c r="B7" s="1"/>
      <c r="C7" s="27">
        <v>5</v>
      </c>
      <c r="D7" s="7" t="s">
        <v>113</v>
      </c>
      <c r="E7" s="12" t="s">
        <v>114</v>
      </c>
      <c r="F7" s="130" t="s">
        <v>115</v>
      </c>
      <c r="G7" s="18" t="s">
        <v>116</v>
      </c>
      <c r="H7" s="28"/>
      <c r="I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5" customHeight="1" x14ac:dyDescent="0.3">
      <c r="A8" s="6" t="s">
        <v>11</v>
      </c>
      <c r="B8" s="1"/>
      <c r="C8" s="27">
        <v>6</v>
      </c>
      <c r="D8" s="7" t="s">
        <v>10</v>
      </c>
      <c r="E8" s="12" t="s">
        <v>119</v>
      </c>
      <c r="F8" s="13" t="s">
        <v>118</v>
      </c>
      <c r="G8" s="130" t="s">
        <v>117</v>
      </c>
      <c r="H8" s="28"/>
      <c r="I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5" customHeight="1" x14ac:dyDescent="0.3">
      <c r="A9" s="3"/>
      <c r="B9" s="1"/>
      <c r="C9" s="27">
        <v>7</v>
      </c>
      <c r="D9" s="7" t="s">
        <v>120</v>
      </c>
      <c r="E9" s="12" t="s">
        <v>121</v>
      </c>
      <c r="F9" s="13" t="s">
        <v>68</v>
      </c>
      <c r="G9" s="18" t="s">
        <v>65</v>
      </c>
      <c r="H9" s="28"/>
      <c r="I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5" customHeight="1" x14ac:dyDescent="0.3">
      <c r="A10" s="3"/>
      <c r="B10" s="1"/>
      <c r="C10" s="27">
        <v>8</v>
      </c>
      <c r="D10" s="7" t="s">
        <v>125</v>
      </c>
      <c r="E10" s="130" t="s">
        <v>8</v>
      </c>
      <c r="F10" s="130" t="s">
        <v>123</v>
      </c>
      <c r="G10" s="130" t="s">
        <v>122</v>
      </c>
      <c r="H10" s="28"/>
      <c r="I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2.75" customHeight="1" x14ac:dyDescent="0.3">
      <c r="A11" s="3"/>
      <c r="B11" s="1"/>
      <c r="C11" s="27">
        <v>9</v>
      </c>
      <c r="D11" s="7" t="s">
        <v>124</v>
      </c>
      <c r="E11" s="12" t="s">
        <v>126</v>
      </c>
      <c r="F11" s="13" t="s">
        <v>127</v>
      </c>
      <c r="G11" s="130" t="s">
        <v>128</v>
      </c>
      <c r="H11" s="28"/>
      <c r="I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2.75" customHeight="1" x14ac:dyDescent="0.3">
      <c r="A12" s="3"/>
      <c r="B12" s="1"/>
      <c r="C12" s="27">
        <v>10</v>
      </c>
      <c r="D12" s="7" t="s">
        <v>132</v>
      </c>
      <c r="E12" s="12" t="s">
        <v>131</v>
      </c>
      <c r="F12" s="13" t="s">
        <v>130</v>
      </c>
      <c r="G12" s="130" t="s">
        <v>129</v>
      </c>
      <c r="H12" s="28"/>
      <c r="I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2.75" customHeight="1" x14ac:dyDescent="0.3">
      <c r="A13" s="3"/>
      <c r="B13" s="1"/>
      <c r="C13" s="27">
        <v>11</v>
      </c>
      <c r="D13" s="7" t="s">
        <v>133</v>
      </c>
      <c r="E13" s="12" t="s">
        <v>134</v>
      </c>
      <c r="F13" s="13" t="s">
        <v>135</v>
      </c>
      <c r="G13" s="130" t="s">
        <v>136</v>
      </c>
      <c r="H13" s="28"/>
      <c r="I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2.75" customHeight="1" x14ac:dyDescent="0.3">
      <c r="A14" s="3"/>
      <c r="B14" s="1"/>
      <c r="C14" s="27">
        <v>12</v>
      </c>
      <c r="D14" s="7" t="s">
        <v>139</v>
      </c>
      <c r="E14" s="12" t="s">
        <v>142</v>
      </c>
      <c r="F14" s="13" t="s">
        <v>138</v>
      </c>
      <c r="G14" s="18" t="s">
        <v>137</v>
      </c>
      <c r="H14" s="28"/>
      <c r="I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2.75" customHeight="1" x14ac:dyDescent="0.3">
      <c r="A15" s="3"/>
      <c r="B15" s="1"/>
      <c r="C15" s="27">
        <v>13</v>
      </c>
      <c r="D15" s="79" t="s">
        <v>140</v>
      </c>
      <c r="E15" s="12" t="s">
        <v>141</v>
      </c>
      <c r="F15" s="13" t="s">
        <v>146</v>
      </c>
      <c r="G15" s="18" t="s">
        <v>157</v>
      </c>
      <c r="H15" s="28"/>
      <c r="I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2.75" customHeight="1" x14ac:dyDescent="0.3">
      <c r="A16" s="3"/>
      <c r="B16" s="1"/>
      <c r="C16" s="27">
        <v>14</v>
      </c>
      <c r="D16" s="79" t="s">
        <v>71</v>
      </c>
      <c r="E16" s="12" t="s">
        <v>152</v>
      </c>
      <c r="F16" s="13" t="s">
        <v>143</v>
      </c>
      <c r="G16" s="18" t="s">
        <v>144</v>
      </c>
      <c r="H16" s="28"/>
      <c r="I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2.75" customHeight="1" x14ac:dyDescent="0.3">
      <c r="A17" s="3"/>
      <c r="B17" s="1"/>
      <c r="C17" s="27">
        <v>15</v>
      </c>
      <c r="D17" s="79" t="s">
        <v>148</v>
      </c>
      <c r="E17" s="79" t="s">
        <v>149</v>
      </c>
      <c r="F17" s="130" t="s">
        <v>150</v>
      </c>
      <c r="G17" s="130" t="s">
        <v>70</v>
      </c>
      <c r="H17" s="28"/>
      <c r="I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2.75" customHeight="1" x14ac:dyDescent="0.3">
      <c r="A18" s="3"/>
      <c r="B18" s="1"/>
      <c r="C18" s="27">
        <v>16</v>
      </c>
      <c r="D18" s="79" t="s">
        <v>153</v>
      </c>
      <c r="E18" s="79" t="s">
        <v>147</v>
      </c>
      <c r="F18" s="13" t="s">
        <v>156</v>
      </c>
      <c r="G18" s="18" t="s">
        <v>145</v>
      </c>
      <c r="H18" s="28"/>
      <c r="I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2.75" customHeight="1" x14ac:dyDescent="0.3">
      <c r="A19" s="3"/>
      <c r="B19" s="1"/>
      <c r="C19" s="27">
        <v>17</v>
      </c>
      <c r="D19" s="79" t="s">
        <v>154</v>
      </c>
      <c r="E19" s="79" t="s">
        <v>155</v>
      </c>
      <c r="F19" s="13" t="s">
        <v>151</v>
      </c>
      <c r="G19" s="130" t="s">
        <v>66</v>
      </c>
      <c r="H19" s="28"/>
      <c r="I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2.75" customHeight="1" x14ac:dyDescent="0.3">
      <c r="A20" s="3"/>
      <c r="B20" s="1"/>
      <c r="C20" s="27">
        <v>18</v>
      </c>
      <c r="D20" s="80" t="s">
        <v>160</v>
      </c>
      <c r="E20" s="79" t="s">
        <v>159</v>
      </c>
      <c r="F20" s="13" t="s">
        <v>158</v>
      </c>
      <c r="G20" s="18" t="s">
        <v>69</v>
      </c>
      <c r="H20" s="28"/>
      <c r="I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2.75" customHeight="1" x14ac:dyDescent="0.3">
      <c r="A21" s="3"/>
      <c r="B21" s="1"/>
      <c r="C21" s="27">
        <v>19</v>
      </c>
      <c r="D21" s="81"/>
      <c r="E21" s="82"/>
      <c r="F21" s="83"/>
      <c r="G21" s="84"/>
      <c r="H21" s="28"/>
      <c r="I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5" customHeight="1" x14ac:dyDescent="0.3">
      <c r="A22" s="3"/>
      <c r="B22" s="1"/>
      <c r="C22" s="27">
        <v>20</v>
      </c>
      <c r="D22" s="81"/>
      <c r="E22" s="82"/>
      <c r="F22" s="83"/>
      <c r="G22" s="84"/>
      <c r="H22" s="28"/>
      <c r="I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5" customHeight="1" thickBot="1" x14ac:dyDescent="0.35">
      <c r="A23" s="3"/>
      <c r="B23" s="1"/>
      <c r="C23" s="29"/>
      <c r="D23" s="30"/>
      <c r="E23" s="30"/>
      <c r="F23" s="30"/>
      <c r="G23" s="30"/>
      <c r="H23" s="31"/>
      <c r="I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5" customHeight="1" x14ac:dyDescent="0.3">
      <c r="A24" s="3"/>
      <c r="B24" s="1"/>
      <c r="C24" s="1"/>
      <c r="D24" s="1"/>
      <c r="E24" s="1"/>
      <c r="F24" s="1"/>
      <c r="G24" s="1"/>
      <c r="H24" s="1"/>
      <c r="I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5" customHeight="1" thickBot="1" x14ac:dyDescent="0.35">
      <c r="A25" s="3"/>
      <c r="B25" s="1"/>
      <c r="C25" s="1"/>
      <c r="D25" s="1"/>
      <c r="E25" s="1"/>
      <c r="F25" s="1"/>
      <c r="G25" s="1"/>
      <c r="H25" s="1"/>
      <c r="I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5" customHeight="1" thickBot="1" x14ac:dyDescent="0.35">
      <c r="A26" s="3"/>
      <c r="B26" s="1"/>
      <c r="C26" s="2"/>
      <c r="D26" s="41" t="s">
        <v>4</v>
      </c>
      <c r="E26" s="42" t="s">
        <v>3</v>
      </c>
      <c r="F26" s="43" t="s">
        <v>2</v>
      </c>
      <c r="G26" s="44" t="s">
        <v>1</v>
      </c>
      <c r="H26" s="36" t="s">
        <v>12</v>
      </c>
      <c r="I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5" customHeight="1" x14ac:dyDescent="0.3">
      <c r="A27" s="3"/>
      <c r="B27" s="1"/>
      <c r="C27" s="4" t="s">
        <v>13</v>
      </c>
      <c r="D27" s="45" cm="1">
        <f t="array" ref="D27">SUM(_xlfn.XLOOKUP(D$3:D$14,Puntentelling!$C$4:$C$32,Puntentelling!$F$4:$F$32,0,0,1))</f>
        <v>140</v>
      </c>
      <c r="E27" s="14" cm="1">
        <f t="array" ref="E27">SUM(_xlfn.XLOOKUP(E$3:E$14,Puntentelling!$C$4:$C$32,Puntentelling!$F$4:$F$32,0,0,1))</f>
        <v>9</v>
      </c>
      <c r="F27" s="15" cm="1">
        <f t="array" ref="F27">SUM(_xlfn.XLOOKUP(F$3:F$14,Puntentelling!$C$4:$C$32,Puntentelling!$F$4:$F$32,0,0,1))</f>
        <v>83</v>
      </c>
      <c r="G27" s="46" cm="1">
        <f t="array" ref="G27">SUM(_xlfn.XLOOKUP(G$3:G$14,Puntentelling!$C$4:$C$32,Puntentelling!$F$4:$F$32,0,0,1))</f>
        <v>199</v>
      </c>
      <c r="H27" s="37"/>
      <c r="I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5" customHeight="1" x14ac:dyDescent="0.3">
      <c r="A28" s="3"/>
      <c r="B28" s="1"/>
      <c r="C28" s="4" t="s">
        <v>14</v>
      </c>
      <c r="D28" s="45" cm="1">
        <f t="array" ref="D28">SUM(_xlfn.XLOOKUP(D$3:D$14,Puntentelling!$I$4:$I$32,Puntentelling!$L$4:$L$32,0,0,1))</f>
        <v>34</v>
      </c>
      <c r="E28" s="14" cm="1">
        <f t="array" ref="E28">SUM(_xlfn.XLOOKUP(E$3:E$14,Puntentelling!$I$4:$I$32,Puntentelling!$L$4:$L$32,0,0,1))</f>
        <v>32</v>
      </c>
      <c r="F28" s="15" cm="1">
        <f t="array" ref="F28">SUM(_xlfn.XLOOKUP(F$3:F$14,Puntentelling!$I$4:$I$32,Puntentelling!$L$4:$L$32,0,0,1))</f>
        <v>13</v>
      </c>
      <c r="G28" s="46" cm="1">
        <f t="array" ref="G28">SUM(_xlfn.XLOOKUP(G$3:G$14,Puntentelling!$I$4:$I$32,Puntentelling!$L$4:$L$32,0,0,1))</f>
        <v>36</v>
      </c>
      <c r="H28" s="38"/>
      <c r="I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5" customHeight="1" x14ac:dyDescent="0.3">
      <c r="A29" s="3"/>
      <c r="B29" s="1"/>
      <c r="C29" s="4" t="s">
        <v>15</v>
      </c>
      <c r="D29" s="45" cm="1">
        <f t="array" ref="D29">SUM(_xlfn.XLOOKUP(D$3:D$14,Puntentelling!$O$4:$O$32,Puntentelling!$R$4:$R$32,0,0,1))</f>
        <v>15</v>
      </c>
      <c r="E29" s="14" cm="1">
        <f t="array" ref="E29">SUM(_xlfn.XLOOKUP(E$3:E$14,Puntentelling!$O$4:$O$32,Puntentelling!$R$4:$R$32,0,0,1))</f>
        <v>145</v>
      </c>
      <c r="F29" s="15" cm="1">
        <f t="array" ref="F29">SUM(_xlfn.XLOOKUP(F$3:F$14,Puntentelling!$O$4:$O$32,Puntentelling!$R$4:$R$32,0,0,1))</f>
        <v>197</v>
      </c>
      <c r="G29" s="46" cm="1">
        <f t="array" ref="G29">SUM(_xlfn.XLOOKUP(G$3:G$14,Puntentelling!$O$4:$O$32,Puntentelling!$R$4:$R$32,0,0,1))</f>
        <v>105</v>
      </c>
      <c r="H29" s="38"/>
      <c r="I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5" customHeight="1" x14ac:dyDescent="0.3">
      <c r="A30" s="3"/>
      <c r="C30" s="4" t="s">
        <v>16</v>
      </c>
      <c r="D30" s="45" cm="1">
        <f t="array" ref="D30">SUM(_xlfn.XLOOKUP(D$3:D$14,Puntentelling!$U$4:$U$32,Puntentelling!$X$4:$X$32,0,0,1))</f>
        <v>162</v>
      </c>
      <c r="E30" s="14" cm="1">
        <f t="array" ref="E30">SUM(_xlfn.XLOOKUP(E$3:E$14,Puntentelling!$U$4:$U$32,Puntentelling!$X$4:$X$32,0,0,1))</f>
        <v>161</v>
      </c>
      <c r="F30" s="15" cm="1">
        <f t="array" ref="F30">SUM(_xlfn.XLOOKUP(F$3:F$14,Puntentelling!$U$4:$U$32,Puntentelling!$X$4:$X$32,0,0,1))</f>
        <v>70</v>
      </c>
      <c r="G30" s="46" cm="1">
        <f t="array" ref="G30">SUM(_xlfn.XLOOKUP(G$3:G$14,Puntentelling!$U$4:$U$32,Puntentelling!$X$4:$X$32,0,0,1))</f>
        <v>145</v>
      </c>
      <c r="H30" s="38"/>
      <c r="I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4.4" x14ac:dyDescent="0.3">
      <c r="A31" s="3"/>
      <c r="B31" s="1"/>
      <c r="C31" s="4" t="s">
        <v>17</v>
      </c>
      <c r="D31" s="45" cm="1">
        <f t="array" ref="D31">SUM(_xlfn.XLOOKUP(D$3:D$14,Puntentelling!$AA$4:$AA$32,Puntentelling!$AD$4:$AD$32,0,0,1))</f>
        <v>45</v>
      </c>
      <c r="E31" s="14" cm="1">
        <f t="array" ref="E31">SUM(_xlfn.XLOOKUP(E$3:E$14,Puntentelling!$AA$4:$AA$32,Puntentelling!$AD$4:$AD$32,0,0,1))</f>
        <v>222</v>
      </c>
      <c r="F31" s="15" cm="1">
        <f t="array" ref="F31">SUM(_xlfn.XLOOKUP(F$3:F$14,Puntentelling!$AA$4:$AA$32,Puntentelling!$AD$4:$AD$32,0,0,1))</f>
        <v>95</v>
      </c>
      <c r="G31" s="46" cm="1">
        <f t="array" ref="G31">SUM(_xlfn.XLOOKUP(G$3:G$14,Puntentelling!$AA$4:$AA$32,Puntentelling!$AD$4:$AD$32,0,0,1))</f>
        <v>101</v>
      </c>
      <c r="H31" s="38"/>
      <c r="I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4.4" x14ac:dyDescent="0.3">
      <c r="A32" s="3"/>
      <c r="B32" s="1"/>
      <c r="C32" s="4" t="s">
        <v>18</v>
      </c>
      <c r="D32" s="45" cm="1">
        <f t="array" ref="D32">SUM(_xlfn.XLOOKUP(D$3:D$14,Puntentelling!$AG$4:$AG$32,Puntentelling!$AJ$4:$AJ$32,0,0,1))</f>
        <v>75</v>
      </c>
      <c r="E32" s="14" cm="1">
        <f t="array" ref="E32">SUM(_xlfn.XLOOKUP(E$3:E$14,Puntentelling!$AG$4:$AG$32,Puntentelling!$AJ$4:$AJ$32,0,0,1))</f>
        <v>187</v>
      </c>
      <c r="F32" s="15" cm="1">
        <f t="array" ref="F32">SUM(_xlfn.XLOOKUP(F$3:F$14,Puntentelling!$AG$4:$AG$32,Puntentelling!$AJ$4:$AJ$32,0,0,1))</f>
        <v>184</v>
      </c>
      <c r="G32" s="46" cm="1">
        <f t="array" ref="G32">SUM(_xlfn.XLOOKUP(G$3:G$14,Puntentelling!$AG$4:$AG$32,Puntentelling!$AJ$4:$AJ$32,0,0,1))</f>
        <v>70</v>
      </c>
      <c r="H32" s="38"/>
      <c r="I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5" customHeight="1" x14ac:dyDescent="0.3">
      <c r="A33" s="3"/>
      <c r="B33" s="1"/>
      <c r="C33" s="4" t="s">
        <v>19</v>
      </c>
      <c r="D33" s="45" cm="1">
        <f t="array" ref="D33">SUM(_xlfn.XLOOKUP(D$3:D$14,Puntentelling!$AM$4:$AM$32,Puntentelling!$AP$4:$AP$32,0,0,1))</f>
        <v>158</v>
      </c>
      <c r="E33" s="14" cm="1">
        <f t="array" ref="E33">SUM(_xlfn.XLOOKUP(E$3:E$14,Puntentelling!$AM$4:$AM$32,Puntentelling!$AP$4:$AP$32,0,0,1))</f>
        <v>39</v>
      </c>
      <c r="F33" s="15" cm="1">
        <f t="array" ref="F33">SUM(_xlfn.XLOOKUP(F$3:F$14,Puntentelling!$AM$4:$AM$32,Puntentelling!$AP$4:$AP$32,0,0,1))</f>
        <v>111</v>
      </c>
      <c r="G33" s="46" cm="1">
        <f t="array" ref="G33">SUM(_xlfn.XLOOKUP(G$3:G$14,Puntentelling!$AM$4:$AM$32,Puntentelling!$AP$4:$AP$32,0,0,1))</f>
        <v>192</v>
      </c>
      <c r="H33" s="38"/>
      <c r="I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5" customHeight="1" x14ac:dyDescent="0.3">
      <c r="A34" s="3"/>
      <c r="B34" s="1"/>
      <c r="C34" s="4" t="s">
        <v>20</v>
      </c>
      <c r="D34" s="45" cm="1">
        <f t="array" ref="D34">SUM(_xlfn.XLOOKUP(D$3:D$14,Puntentelling!$AS$4:$AS$32,Puntentelling!$AV$4:$AV$32,0,0,1))</f>
        <v>78</v>
      </c>
      <c r="E34" s="14" cm="1">
        <f t="array" ref="E34">SUM(_xlfn.XLOOKUP(E$3:E$14,Puntentelling!$AS$4:$AS$32,Puntentelling!$AV$4:$AV$32,0,0,1))</f>
        <v>88</v>
      </c>
      <c r="F34" s="15" cm="1">
        <f t="array" ref="F34">SUM(_xlfn.XLOOKUP(F$3:F$15,Puntentelling!$AS$4:$AS$32,Puntentelling!$AV$4:$AV$32,0,0,1))</f>
        <v>171</v>
      </c>
      <c r="G34" s="46" cm="1">
        <f t="array" ref="G34">SUM(_xlfn.XLOOKUP(G$3:G$14,Puntentelling!$AS$4:$AS$32,Puntentelling!$AV$4:$AV$32,0,0,1))</f>
        <v>102</v>
      </c>
      <c r="H34" s="38"/>
      <c r="I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5" customHeight="1" x14ac:dyDescent="0.3">
      <c r="A35" s="3"/>
      <c r="B35" s="1"/>
      <c r="C35" s="4" t="s">
        <v>21</v>
      </c>
      <c r="D35" s="45" cm="1">
        <f t="array" ref="D35">SUM(_xlfn.XLOOKUP(D$3:D$14,Puntentelling!$AY$4:$AY$32,Puntentelling!$BB$4:$BB$32,0,0,1))</f>
        <v>35</v>
      </c>
      <c r="E35" s="14" cm="1">
        <f t="array" ref="E35">SUM(_xlfn.XLOOKUP(E$3:E$14,Puntentelling!$AY$4:$AY$32,Puntentelling!$BB$4:$BB$32,0,0,1))</f>
        <v>67</v>
      </c>
      <c r="F35" s="15" cm="1">
        <f t="array" ref="F35">SUM(_xlfn.XLOOKUP(F$3:F$15,Puntentelling!$AY$4:$AY$32,Puntentelling!$BB$4:$BB$32,0,0,1))</f>
        <v>159</v>
      </c>
      <c r="G35" s="46" cm="1">
        <f t="array" ref="G35">SUM(_xlfn.XLOOKUP(G$3:G$14,Puntentelling!$AY$4:$AY$32,Puntentelling!$BB$4:$BB$32,0,0,1))</f>
        <v>27</v>
      </c>
      <c r="H35" s="38"/>
      <c r="I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5" customHeight="1" x14ac:dyDescent="0.3">
      <c r="A36" s="3"/>
      <c r="B36" s="1"/>
      <c r="C36" s="4" t="s">
        <v>22</v>
      </c>
      <c r="D36" s="45" cm="1">
        <f t="array" ref="D36">SUM(_xlfn.XLOOKUP(D$3:D$14,Puntentelling!$BE$4:$BE$32,Puntentelling!$BH$4:$BH$32,0,0,1))</f>
        <v>141</v>
      </c>
      <c r="E36" s="14" cm="1">
        <f t="array" ref="E36">SUM(_xlfn.XLOOKUP(E$3:E$14,Puntentelling!$BE$4:$BE$32,Puntentelling!$BH$4:$BH$32,0,0,1))</f>
        <v>186</v>
      </c>
      <c r="F36" s="15" cm="1">
        <f t="array" ref="F36">SUM(_xlfn.XLOOKUP(F$3:F$16,Puntentelling!$BE$4:$BE$32,Puntentelling!$BH$4:$BH$32,0,0,1))</f>
        <v>140</v>
      </c>
      <c r="G36" s="46" cm="1">
        <f t="array" ref="G36">SUM(_xlfn.XLOOKUP(G$3:G$14,Puntentelling!$BE$4:$BE$32,Puntentelling!$BH$4:$BH$32,0,0,1))</f>
        <v>54</v>
      </c>
      <c r="H36" s="38"/>
      <c r="I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5" customHeight="1" x14ac:dyDescent="0.3">
      <c r="A37" s="3"/>
      <c r="B37" s="1"/>
      <c r="C37" s="4" t="s">
        <v>23</v>
      </c>
      <c r="D37" s="45" cm="1">
        <f t="array" ref="D37">SUM(_xlfn.XLOOKUP(D$3:D$14,Puntentelling!$BK$4:$BK$32,Puntentelling!$BN$4:$BN$32,0,0,1))</f>
        <v>146</v>
      </c>
      <c r="E37" s="14" cm="1">
        <f t="array" ref="E37">SUM(_xlfn.XLOOKUP(E$3:E$14,Puntentelling!$BK$4:$BK$32,Puntentelling!$BN$4:$BN$32,0,0,1))</f>
        <v>135</v>
      </c>
      <c r="F37" s="15" cm="1">
        <f t="array" ref="F37">SUM(_xlfn.XLOOKUP(F$3:F$16,Puntentelling!$BK$4:$BK$32,Puntentelling!$BN$4:$BN$32,0,0,1))</f>
        <v>157</v>
      </c>
      <c r="G37" s="46" cm="1">
        <f t="array" ref="G37">SUM(_xlfn.XLOOKUP(G$3:G$14,Puntentelling!$BK$4:$BK$32,Puntentelling!$BN$4:$BN$32,0,0,1))</f>
        <v>130</v>
      </c>
      <c r="H37" s="3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5" customHeight="1" x14ac:dyDescent="0.3">
      <c r="A38" s="3"/>
      <c r="B38" s="1"/>
      <c r="C38" s="4" t="s">
        <v>24</v>
      </c>
      <c r="D38" s="45" cm="1">
        <f t="array" ref="D38">SUM(_xlfn.XLOOKUP(D$3:D$14,Puntentelling!$BQ$4:$BQ$32,Puntentelling!$BT$4:$BT$32,0,0,1))</f>
        <v>174</v>
      </c>
      <c r="E38" s="14" cm="1">
        <f t="array" ref="E38">SUM(_xlfn.XLOOKUP(E$3:E$14,Puntentelling!$BQ$4:$BQ$32,Puntentelling!$BT$4:$BT$32,0,0,1))</f>
        <v>114</v>
      </c>
      <c r="F38" s="15" cm="1">
        <f t="array" ref="F38">SUM(_xlfn.XLOOKUP(F$3:F$16,Puntentelling!$BQ$4:$BQ$32,Puntentelling!$BT$4:$BT$32,0,0,1))</f>
        <v>190</v>
      </c>
      <c r="G38" s="46" cm="1">
        <f t="array" ref="G38">SUM(_xlfn.XLOOKUP(G$3:G$14,Puntentelling!$BQ$4:$BQ$32,Puntentelling!$BT$4:$BT$32,0,0,1))</f>
        <v>69</v>
      </c>
      <c r="H38" s="38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5" customHeight="1" x14ac:dyDescent="0.3">
      <c r="A39" s="3"/>
      <c r="B39" s="1"/>
      <c r="C39" s="4" t="s">
        <v>25</v>
      </c>
      <c r="D39" s="45" cm="1">
        <f t="array" ref="D39">SUM(_xlfn.XLOOKUP(D$3:D$14,Puntentelling!$BW$4:$BW$32,Puntentelling!$BZ$4:$BZ$32,0,0,1))</f>
        <v>185</v>
      </c>
      <c r="E39" s="14" cm="1">
        <f t="array" ref="E39">SUM(_xlfn.XLOOKUP(E$3:E$14,Puntentelling!$BW$4:$BW$32,Puntentelling!$BZ$4:$BZ$32,0,0,1))</f>
        <v>128</v>
      </c>
      <c r="F39" s="15" cm="1">
        <f t="array" ref="F39">SUM(_xlfn.XLOOKUP(F$3:F$18,Puntentelling!$BW$4:$BW$32,Puntentelling!$BZ$4:$BZ$32,0,0,1))</f>
        <v>82</v>
      </c>
      <c r="G39" s="46" cm="1">
        <f t="array" ref="G39">SUM(_xlfn.XLOOKUP(G$3:G$15,Puntentelling!$BW$4:$BW$32,Puntentelling!$BZ$4:$BZ$32,0,0,1))</f>
        <v>24</v>
      </c>
      <c r="H39" s="38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5" customHeight="1" x14ac:dyDescent="0.3">
      <c r="A40" s="3"/>
      <c r="B40" s="1"/>
      <c r="C40" s="4" t="s">
        <v>26</v>
      </c>
      <c r="D40" s="45" cm="1">
        <f t="array" ref="D40">SUM(_xlfn.XLOOKUP(D$3:D$14,Puntentelling!$CC$4:$CC$32,Puntentelling!$CF$4:$CF$32,0,0,1))</f>
        <v>154</v>
      </c>
      <c r="E40" s="14" cm="1">
        <f t="array" ref="E40">SUM(_xlfn.XLOOKUP(E$3:E$15,Puntentelling!$CC$4:$CC$32,Puntentelling!$CF$4:$CF$32,0,0,1))</f>
        <v>190</v>
      </c>
      <c r="F40" s="15" cm="1">
        <f t="array" ref="F40">SUM(_xlfn.XLOOKUP(F$3:F$19,Puntentelling!$CC$4:$CC$32,Puntentelling!$CF$4:$CF$32,0,0,1))</f>
        <v>148</v>
      </c>
      <c r="G40" s="46" cm="1">
        <f t="array" ref="G40">SUM(_xlfn.XLOOKUP(G$3:G$15,Puntentelling!$CC$4:$CC$32,Puntentelling!$CF$4:$CF$32,0,0,1))</f>
        <v>93</v>
      </c>
      <c r="H40" s="38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5" customHeight="1" x14ac:dyDescent="0.3">
      <c r="A41" s="3"/>
      <c r="B41" s="1"/>
      <c r="C41" s="4" t="s">
        <v>27</v>
      </c>
      <c r="D41" s="45" cm="1">
        <f t="array" ref="D41">SUM(_xlfn.XLOOKUP(D$3:D$14,Puntentelling!$CI$4:$CI$32,Puntentelling!$CL$4:$CL$32,0,0,1))</f>
        <v>184</v>
      </c>
      <c r="E41" s="14" cm="1">
        <f t="array" ref="E41">SUM(_xlfn.XLOOKUP(E$3:E$15,Puntentelling!$CI$4:$CI$32,Puntentelling!$CL$4:$CL$32,0,0,1))</f>
        <v>107</v>
      </c>
      <c r="F41" s="15" cm="1">
        <f t="array" ref="F41">SUM(_xlfn.XLOOKUP(F$3:F$19,Puntentelling!$CI$4:$CI$32,Puntentelling!$CL$4:$CL$32,0,0,1))</f>
        <v>133</v>
      </c>
      <c r="G41" s="46" cm="1">
        <f t="array" ref="G41">SUM(_xlfn.XLOOKUP(G$3:G$16,Puntentelling!$CI$4:$CI$32,Puntentelling!$CL$4:$CL$32,0,0,1))</f>
        <v>165</v>
      </c>
      <c r="H41" s="38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5" customHeight="1" x14ac:dyDescent="0.3">
      <c r="A42" s="3"/>
      <c r="B42" s="1"/>
      <c r="C42" s="4" t="s">
        <v>28</v>
      </c>
      <c r="D42" s="45" cm="1">
        <f t="array" ref="D42">SUM(_xlfn.XLOOKUP(D$3:D$14,Puntentelling!$CO$4:$CO$32,Puntentelling!$CR$4:$CR$32,0,0,1))</f>
        <v>114</v>
      </c>
      <c r="E42" s="14" cm="1">
        <f t="array" ref="E42">SUM(_xlfn.XLOOKUP(E$3:E$15,Puntentelling!$CO$4:$CO$32,Puntentelling!$CR$4:$CR$32,0,0,1))</f>
        <v>158</v>
      </c>
      <c r="F42" s="15" cm="1">
        <f t="array" ref="F42">SUM(_xlfn.XLOOKUP(F$3:F$19,Puntentelling!$CO$4:$CO$32,Puntentelling!$CR$4:$CR$32,0,0,1))</f>
        <v>180</v>
      </c>
      <c r="G42" s="46" cm="1">
        <f t="array" ref="G42">SUM(_xlfn.XLOOKUP(G$3:G$18,Puntentelling!$CO$4:$CO$32,Puntentelling!$CR$4:$CR$32,0,0,1))</f>
        <v>65</v>
      </c>
      <c r="H42" s="38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5" customHeight="1" x14ac:dyDescent="0.3">
      <c r="A43" s="3"/>
      <c r="B43" s="1"/>
      <c r="C43" s="4" t="s">
        <v>29</v>
      </c>
      <c r="D43" s="45" cm="1">
        <f t="array" ref="D43">SUM(_xlfn.XLOOKUP(D$3:D$14,Puntentelling!$CU$4:$CU$32,Puntentelling!$CX$4:$CX$32,0,0,1))</f>
        <v>21</v>
      </c>
      <c r="E43" s="14" cm="1">
        <f t="array" ref="E43">SUM(_xlfn.XLOOKUP(E$3:E$15,Puntentelling!$CU$4:$CU$32,Puntentelling!$CX$4:$CX$32,0,0,1))</f>
        <v>80</v>
      </c>
      <c r="F43" s="15" cm="1">
        <f t="array" ref="F43">SUM(_xlfn.XLOOKUP(F$3:F$20,Puntentelling!$CU$4:$CU$32,Puntentelling!$CX$4:$CX$32,0,0,1))</f>
        <v>23</v>
      </c>
      <c r="G43" s="46" cm="1">
        <f t="array" ref="G43">SUM(_xlfn.XLOOKUP(G$3:G$18,Puntentelling!$CU$4:$CU$32,Puntentelling!$CX$4:$CX$32,0,0,1))</f>
        <v>140</v>
      </c>
      <c r="H43" s="38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 x14ac:dyDescent="0.3">
      <c r="A44" s="3"/>
      <c r="B44" s="1"/>
      <c r="C44" s="4" t="s">
        <v>30</v>
      </c>
      <c r="D44" s="45" cm="1">
        <f t="array" ref="D44">SUM(_xlfn.XLOOKUP(D$3:D$14,Puntentelling!$DA$4:$DA$32,Puntentelling!$DD$4:$DD$32,0,0,1))</f>
        <v>110</v>
      </c>
      <c r="E44" s="14" cm="1">
        <f t="array" ref="E44">SUM(_xlfn.XLOOKUP(E$3:E$16,Puntentelling!$DA$4:$DA$32,Puntentelling!$DD$4:$DD$32,0,0,1))</f>
        <v>0</v>
      </c>
      <c r="F44" s="15" cm="1">
        <f t="array" ref="F44">SUM(_xlfn.XLOOKUP(F$3:F$20,Puntentelling!$DA$4:$DA$32,Puntentelling!$DD$4:$DD$32,0,0,1))</f>
        <v>77</v>
      </c>
      <c r="G44" s="46" cm="1">
        <f t="array" ref="G44">SUM(_xlfn.XLOOKUP(G$3:G$20,Puntentelling!$DA$4:$DA$32,Puntentelling!$DD$4:$DD$32,0,0,1))</f>
        <v>35</v>
      </c>
      <c r="H44" s="38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 x14ac:dyDescent="0.3">
      <c r="A45" s="6" t="s">
        <v>31</v>
      </c>
      <c r="B45" s="1"/>
      <c r="C45" s="4" t="s">
        <v>32</v>
      </c>
      <c r="D45" s="45" cm="1">
        <f t="array" ref="D45">SUM(_xlfn.XLOOKUP(D$3:D$14,Puntentelling!$DG$4:$DG$32,Puntentelling!$DJ$4:$DJ$32,0,0,1))</f>
        <v>231</v>
      </c>
      <c r="E45" s="14" cm="1">
        <f t="array" ref="E45">SUM(_xlfn.XLOOKUP(E$3:E$16,Puntentelling!$DG$4:$DG$32,Puntentelling!$DJ$4:$DJ32,0,0,1))</f>
        <v>120</v>
      </c>
      <c r="F45" s="15" cm="1">
        <f t="array" ref="F45">SUM(_xlfn.XLOOKUP(F$3:F$20,Puntentelling!$DG$4:$DG$32,Puntentelling!$DJ$4:$DJ$32,0,0,1))</f>
        <v>85</v>
      </c>
      <c r="G45" s="46" cm="1">
        <f t="array" ref="G45">SUM(_xlfn.XLOOKUP(G$3:G$20,Puntentelling!$DG$4:$DG$32,Puntentelling!$DJ$4:$DJ$32,0,0,1))</f>
        <v>151</v>
      </c>
      <c r="H45" s="3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 x14ac:dyDescent="0.3">
      <c r="A46" s="3" t="s">
        <v>33</v>
      </c>
      <c r="B46" s="1"/>
      <c r="C46" s="4" t="s">
        <v>34</v>
      </c>
      <c r="D46" s="45" cm="1">
        <f t="array" ref="D46">SUM(_xlfn.XLOOKUP(D$3:D$14,Puntentelling!$DM$4:$DM$32,Puntentelling!$DP$4:$DP$32,0,0,1))</f>
        <v>179</v>
      </c>
      <c r="E46" s="14" cm="1">
        <f t="array" ref="E46">SUM(_xlfn.XLOOKUP(E$3:E$16,Puntentelling!$DM$4:$DM$32,Puntentelling!$DP$4:$DP$32,0,0,1))</f>
        <v>53</v>
      </c>
      <c r="F46" s="15" cm="1">
        <f t="array" ref="F46">SUM(_xlfn.XLOOKUP(F$3:F$20,Puntentelling!$DM$4:$DM$32,Puntentelling!$DP$4:$DP$32,0,0,1))</f>
        <v>120</v>
      </c>
      <c r="G46" s="46" cm="1">
        <f t="array" ref="G46">SUM(_xlfn.XLOOKUP(G$3:G$20,Puntentelling!$DM$4:$DM$32,Puntentelling!$DP$4:$DP$32,0,0,1))</f>
        <v>197</v>
      </c>
      <c r="H46" s="38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 x14ac:dyDescent="0.3">
      <c r="A47" s="3" t="s">
        <v>35</v>
      </c>
      <c r="B47" s="1"/>
      <c r="C47" s="4" t="s">
        <v>36</v>
      </c>
      <c r="D47" s="45" cm="1">
        <f t="array" ref="D47">SUM(_xlfn.XLOOKUP(D$3:D$14,Puntentelling!$DS$4:$DS$32,Puntentelling!$DV$4:$DV$32,0,0,1))</f>
        <v>221</v>
      </c>
      <c r="E47" s="14" cm="1">
        <f t="array" ref="E47">SUM(_xlfn.XLOOKUP(E$3:E$16,Puntentelling!$DS$4:$DS$32,Puntentelling!$DV$4:$DV$32,0,0,1))</f>
        <v>78</v>
      </c>
      <c r="F47" s="15" cm="1">
        <f t="array" ref="F47">SUM(_xlfn.XLOOKUP(F$3:F$20,Puntentelling!$DS$4:$DS$32,Puntentelling!$DV$4:$DV$32,0,0,1))</f>
        <v>107</v>
      </c>
      <c r="G47" s="46" cm="1">
        <f t="array" ref="G47">SUM(_xlfn.XLOOKUP(G$3:G$20,Puntentelling!$DS$4:$DS$32,Puntentelling!$DV$4:$DV$32,0,0,1))</f>
        <v>134</v>
      </c>
      <c r="H47" s="38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 x14ac:dyDescent="0.3">
      <c r="A48" s="3" t="s">
        <v>37</v>
      </c>
      <c r="B48" s="1"/>
      <c r="C48" s="4"/>
      <c r="D48" s="45"/>
      <c r="E48" s="14"/>
      <c r="F48" s="15"/>
      <c r="G48" s="46"/>
      <c r="H48" s="3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5" customHeight="1" x14ac:dyDescent="0.3">
      <c r="A49" s="3" t="s">
        <v>38</v>
      </c>
      <c r="B49" s="1"/>
      <c r="C49" s="4"/>
      <c r="D49" s="45"/>
      <c r="E49" s="14"/>
      <c r="F49" s="16"/>
      <c r="G49" s="47"/>
      <c r="H49" s="3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8.75" customHeight="1" thickBot="1" x14ac:dyDescent="0.35">
      <c r="A50" s="3"/>
      <c r="B50" s="1"/>
      <c r="C50" s="4" t="s">
        <v>39</v>
      </c>
      <c r="D50" s="45" cm="1">
        <f t="array" ref="D50">SUM(_xlfn.XLOOKUP(D$3:D$14,Puntentelling!$O$37:$O$61,Puntentelling!$P$37:$P$61,0,0,1))+SUM(_xlfn.XLOOKUP(D$3:D$14,Puntentelling!$O$65:$O$74,Puntentelling!$P$65:$P$74,0,0,1))+SUM(_xlfn.XLOOKUP(D$3:D$14,Puntentelling!$O$78:$O$87,Puntentelling!$P$78:$P$87,0,0,1))+SUM(_xlfn.XLOOKUP(D3:$D$14,Puntentelling!$O$91:$O$100,Puntentelling!$P$91:$P$100,0,0,1))</f>
        <v>839</v>
      </c>
      <c r="E50" s="14" cm="1">
        <f t="array" ref="E50">SUM(_xlfn.XLOOKUP(E$3:E$16,Puntentelling!$O$37:$O$61,Puntentelling!$P$37:$P$61,0,0,1))+SUM(_xlfn.XLOOKUP(E$3:E$16,Puntentelling!$O$65:$O$74,Puntentelling!$P$65:$P$74,0,0,1))+SUM(_xlfn.XLOOKUP(E$3:E$16,Puntentelling!$O$78:$O$87,Puntentelling!$P$78:$P$87,0,0,1))+SUM(_xlfn.XLOOKUP($E3:E$16,Puntentelling!$O$91:$O$100,Puntentelling!$P$91:$P$100,0,0,1))</f>
        <v>641</v>
      </c>
      <c r="F50" s="15" cm="1">
        <f t="array" ref="F50">SUM(_xlfn.XLOOKUP(F$3:F$20,Puntentelling!$O$37:$O$61,Puntentelling!$P$37:$P$61,0,0,1))+SUM(_xlfn.XLOOKUP(F$3:F$20,Puntentelling!$O$65:$O$74,Puntentelling!$P$65:$P$74,0,0,1))+SUM(_xlfn.XLOOKUP(F$3:F$20,Puntentelling!$O$78:$O$87,Puntentelling!$P$78:$P$87,0,0,1))+SUM(_xlfn.XLOOKUP($F3:F$20,Puntentelling!$O$91:$O$100,Puntentelling!$P$91:$P$100,0,0,1))</f>
        <v>623</v>
      </c>
      <c r="G50" s="46" cm="1">
        <f t="array" ref="G50">SUM(_xlfn.XLOOKUP(G$3:G$20,Puntentelling!$O$37:$O$61,Puntentelling!$P$37:$P$61,0,0,1))+SUM(_xlfn.XLOOKUP(G$3:G$20,Puntentelling!$O$65:$O$74,Puntentelling!$P$65:$P$74,0,0,1))+SUM(_xlfn.XLOOKUP(G$3:G$20,Puntentelling!$O$78:$O$87,Puntentelling!$P$78:$P$87,0,0,1))+SUM(_xlfn.XLOOKUP($G3:G$20,Puntentelling!$O$91:$O$100,Puntentelling!$P$91:$P$100,0,0,1))</f>
        <v>642</v>
      </c>
      <c r="H50" s="40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thickBot="1" x14ac:dyDescent="0.35">
      <c r="A51" s="6" t="s">
        <v>40</v>
      </c>
      <c r="B51" s="1"/>
      <c r="C51" s="8" t="s">
        <v>41</v>
      </c>
      <c r="D51" s="9">
        <f t="shared" ref="D51:H51" si="0">SUM(D27:D50)</f>
        <v>3441</v>
      </c>
      <c r="E51" s="9">
        <f t="shared" si="0"/>
        <v>2940</v>
      </c>
      <c r="F51" s="9">
        <f t="shared" si="0"/>
        <v>3148</v>
      </c>
      <c r="G51" s="9">
        <f t="shared" si="0"/>
        <v>2876</v>
      </c>
      <c r="H51" s="10">
        <f t="shared" si="0"/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5" customHeight="1" x14ac:dyDescent="0.3">
      <c r="A52" s="3" t="s">
        <v>42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7.25" customHeight="1" x14ac:dyDescent="0.3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customHeight="1" x14ac:dyDescent="0.3">
      <c r="A54" s="3" t="s">
        <v>43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 x14ac:dyDescent="0.3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2.95" customHeight="1" x14ac:dyDescent="0.3">
      <c r="A56" s="3" t="s">
        <v>44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 x14ac:dyDescent="0.3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 x14ac:dyDescent="0.3">
      <c r="A58" s="3" t="s">
        <v>45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 x14ac:dyDescent="0.3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 x14ac:dyDescent="0.3">
      <c r="A60" s="3" t="s">
        <v>46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 x14ac:dyDescent="0.3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 x14ac:dyDescent="0.3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 x14ac:dyDescent="0.3">
      <c r="A63" s="6" t="s">
        <v>47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 x14ac:dyDescent="0.3">
      <c r="A64" s="3" t="s">
        <v>72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 x14ac:dyDescent="0.3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 x14ac:dyDescent="0.3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 x14ac:dyDescent="0.3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 x14ac:dyDescent="0.3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 x14ac:dyDescent="0.3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 x14ac:dyDescent="0.3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 x14ac:dyDescent="0.3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 x14ac:dyDescent="0.3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 x14ac:dyDescent="0.3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 x14ac:dyDescent="0.3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 x14ac:dyDescent="0.3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 x14ac:dyDescent="0.3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 x14ac:dyDescent="0.3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 x14ac:dyDescent="0.3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 x14ac:dyDescent="0.3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 x14ac:dyDescent="0.3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 x14ac:dyDescent="0.3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 x14ac:dyDescent="0.3">
      <c r="A83" s="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 x14ac:dyDescent="0.3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 x14ac:dyDescent="0.3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 x14ac:dyDescent="0.3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 x14ac:dyDescent="0.3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 x14ac:dyDescent="0.3">
      <c r="A88" s="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 x14ac:dyDescent="0.3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 x14ac:dyDescent="0.3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 x14ac:dyDescent="0.3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 x14ac:dyDescent="0.3">
      <c r="A92" s="6" t="s">
        <v>48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 x14ac:dyDescent="0.3">
      <c r="A93" s="3" t="s">
        <v>49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 x14ac:dyDescent="0.3">
      <c r="A94" s="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 x14ac:dyDescent="0.3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 x14ac:dyDescent="0.3">
      <c r="A96" s="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 x14ac:dyDescent="0.3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 x14ac:dyDescent="0.3">
      <c r="A98" s="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 x14ac:dyDescent="0.3">
      <c r="A99" s="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 x14ac:dyDescent="0.3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 x14ac:dyDescent="0.3">
      <c r="A101" s="1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3.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3.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3.5" customHeight="1" x14ac:dyDescent="0.3">
      <c r="A1003" s="1"/>
      <c r="B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3.5" customHeight="1" x14ac:dyDescent="0.3">
      <c r="A1004" s="1"/>
      <c r="B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3.5" customHeight="1" x14ac:dyDescent="0.3">
      <c r="A1005" s="1"/>
      <c r="B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13.5" customHeight="1" x14ac:dyDescent="0.3">
      <c r="A1006" s="1"/>
      <c r="B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ht="13.5" customHeight="1" x14ac:dyDescent="0.3">
      <c r="A1007" s="1"/>
      <c r="B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</sheetData>
  <phoneticPr fontId="16" type="noConversion"/>
  <pageMargins left="0.7" right="0.7" top="0.75" bottom="0.7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847F9-93A5-45C8-BED5-29176C741F67}">
  <dimension ref="A1:DV303"/>
  <sheetViews>
    <sheetView topLeftCell="A34" zoomScale="145" zoomScaleNormal="85" workbookViewId="0">
      <selection activeCell="G36" sqref="G36"/>
    </sheetView>
  </sheetViews>
  <sheetFormatPr defaultRowHeight="14.4" x14ac:dyDescent="0.3"/>
  <cols>
    <col min="2" max="2" width="7.109375" bestFit="1" customWidth="1"/>
    <col min="3" max="3" width="22.6640625" bestFit="1" customWidth="1"/>
    <col min="4" max="4" width="8.6640625" bestFit="1" customWidth="1"/>
    <col min="5" max="5" width="10.88671875" bestFit="1" customWidth="1"/>
    <col min="6" max="6" width="22" bestFit="1" customWidth="1"/>
    <col min="7" max="7" width="5" bestFit="1" customWidth="1"/>
    <col min="8" max="8" width="9" customWidth="1"/>
    <col min="9" max="9" width="23" bestFit="1" customWidth="1"/>
    <col min="10" max="10" width="7.44140625" bestFit="1" customWidth="1"/>
    <col min="11" max="11" width="10.88671875" bestFit="1" customWidth="1"/>
    <col min="12" max="12" width="11.88671875" bestFit="1" customWidth="1"/>
    <col min="13" max="13" width="3.6640625" customWidth="1"/>
    <col min="14" max="14" width="7" bestFit="1" customWidth="1"/>
    <col min="15" max="15" width="21.109375" bestFit="1" customWidth="1"/>
    <col min="16" max="16" width="7.44140625" bestFit="1" customWidth="1"/>
    <col min="18" max="18" width="15.6640625" bestFit="1" customWidth="1"/>
    <col min="19" max="19" width="3.6640625" customWidth="1"/>
    <col min="21" max="21" width="23.33203125" bestFit="1" customWidth="1"/>
    <col min="25" max="25" width="3.6640625" customWidth="1"/>
    <col min="26" max="26" width="7.109375" bestFit="1" customWidth="1"/>
    <col min="27" max="27" width="20.5546875" bestFit="1" customWidth="1"/>
    <col min="28" max="28" width="7.44140625" bestFit="1" customWidth="1"/>
    <col min="29" max="29" width="10.88671875" bestFit="1" customWidth="1"/>
    <col min="30" max="30" width="6.44140625" bestFit="1" customWidth="1"/>
    <col min="31" max="31" width="3.6640625" customWidth="1"/>
    <col min="32" max="32" width="7.109375" bestFit="1" customWidth="1"/>
    <col min="33" max="33" width="19" bestFit="1" customWidth="1"/>
    <col min="37" max="37" width="3.6640625" customWidth="1"/>
    <col min="39" max="39" width="20.5546875" bestFit="1" customWidth="1"/>
    <col min="43" max="43" width="3.6640625" customWidth="1"/>
    <col min="45" max="45" width="20.88671875" bestFit="1" customWidth="1"/>
    <col min="49" max="49" width="3.6640625" customWidth="1"/>
    <col min="51" max="51" width="27.44140625" bestFit="1" customWidth="1"/>
    <col min="55" max="55" width="3.6640625" customWidth="1"/>
    <col min="57" max="57" width="31.109375" bestFit="1" customWidth="1"/>
    <col min="61" max="61" width="3.6640625" customWidth="1"/>
    <col min="63" max="63" width="31.109375" bestFit="1" customWidth="1"/>
    <col min="67" max="67" width="3.6640625" customWidth="1"/>
    <col min="69" max="69" width="20.88671875" bestFit="1" customWidth="1"/>
    <col min="73" max="73" width="3.5546875" customWidth="1"/>
    <col min="75" max="75" width="22" bestFit="1" customWidth="1"/>
    <col min="79" max="79" width="3.6640625" customWidth="1"/>
    <col min="81" max="81" width="21" bestFit="1" customWidth="1"/>
    <col min="85" max="85" width="3.6640625" customWidth="1"/>
    <col min="87" max="87" width="21" bestFit="1" customWidth="1"/>
    <col min="91" max="91" width="3.6640625" customWidth="1"/>
    <col min="93" max="93" width="21" bestFit="1" customWidth="1"/>
    <col min="97" max="97" width="3.6640625" customWidth="1"/>
    <col min="99" max="99" width="24.109375" bestFit="1" customWidth="1"/>
    <col min="103" max="103" width="3.6640625" customWidth="1"/>
    <col min="104" max="104" width="7.109375" bestFit="1" customWidth="1"/>
    <col min="105" max="105" width="24.44140625" bestFit="1" customWidth="1"/>
    <col min="109" max="109" width="3.6640625" customWidth="1"/>
    <col min="111" max="111" width="26.33203125" bestFit="1" customWidth="1"/>
    <col min="115" max="115" width="3.6640625" customWidth="1"/>
    <col min="117" max="117" width="21.109375" bestFit="1" customWidth="1"/>
    <col min="121" max="121" width="3.6640625" customWidth="1"/>
    <col min="123" max="123" width="21.109375" bestFit="1" customWidth="1"/>
  </cols>
  <sheetData>
    <row r="1" spans="2:126" x14ac:dyDescent="0.3">
      <c r="B1" s="144" t="s">
        <v>13</v>
      </c>
      <c r="C1" s="144"/>
      <c r="D1" s="35"/>
      <c r="G1" s="48"/>
      <c r="H1" s="144" t="s">
        <v>14</v>
      </c>
      <c r="I1" s="144"/>
      <c r="J1" s="35"/>
      <c r="M1" s="48"/>
      <c r="N1" s="144" t="s">
        <v>15</v>
      </c>
      <c r="O1" s="144"/>
      <c r="P1" s="35"/>
      <c r="S1" s="48"/>
      <c r="T1" s="144" t="s">
        <v>16</v>
      </c>
      <c r="U1" s="144"/>
      <c r="V1" s="35"/>
      <c r="Y1" s="48"/>
      <c r="Z1" s="144" t="s">
        <v>17</v>
      </c>
      <c r="AA1" s="144"/>
      <c r="AB1" s="35"/>
      <c r="AE1" s="48"/>
      <c r="AF1" s="144" t="s">
        <v>18</v>
      </c>
      <c r="AG1" s="144"/>
      <c r="AH1" s="35"/>
      <c r="AK1" s="48"/>
      <c r="AL1" s="144" t="s">
        <v>19</v>
      </c>
      <c r="AM1" s="144"/>
      <c r="AN1" s="35"/>
      <c r="AQ1" s="48"/>
      <c r="AR1" s="144" t="s">
        <v>20</v>
      </c>
      <c r="AS1" s="144"/>
      <c r="AT1" s="35"/>
      <c r="AW1" s="48"/>
      <c r="AX1" s="144" t="s">
        <v>21</v>
      </c>
      <c r="AY1" s="144"/>
      <c r="AZ1" s="35"/>
      <c r="BC1" s="48"/>
      <c r="BD1" s="144" t="s">
        <v>22</v>
      </c>
      <c r="BE1" s="144"/>
      <c r="BF1" s="35"/>
      <c r="BI1" s="48"/>
      <c r="BJ1" s="144" t="s">
        <v>23</v>
      </c>
      <c r="BK1" s="144"/>
      <c r="BL1" s="35"/>
      <c r="BO1" s="48"/>
      <c r="BP1" s="144" t="s">
        <v>24</v>
      </c>
      <c r="BQ1" s="144"/>
      <c r="BR1" s="35"/>
      <c r="BU1" s="48"/>
      <c r="BV1" s="144" t="s">
        <v>25</v>
      </c>
      <c r="BW1" s="144"/>
      <c r="BX1" s="35"/>
      <c r="CA1" s="48"/>
      <c r="CB1" s="144" t="s">
        <v>26</v>
      </c>
      <c r="CC1" s="144"/>
      <c r="CD1" s="35"/>
      <c r="CG1" s="48"/>
      <c r="CH1" s="144" t="s">
        <v>27</v>
      </c>
      <c r="CI1" s="144"/>
      <c r="CJ1" s="35"/>
      <c r="CM1" s="48"/>
      <c r="CN1" s="144" t="s">
        <v>28</v>
      </c>
      <c r="CO1" s="144"/>
      <c r="CP1" s="35"/>
      <c r="CS1" s="48"/>
      <c r="CT1" s="144" t="s">
        <v>29</v>
      </c>
      <c r="CU1" s="144"/>
      <c r="CV1" s="35"/>
      <c r="CY1" s="48"/>
      <c r="CZ1" s="144" t="s">
        <v>30</v>
      </c>
      <c r="DA1" s="144"/>
      <c r="DB1" s="35"/>
      <c r="DE1" s="48"/>
      <c r="DF1" s="144" t="s">
        <v>32</v>
      </c>
      <c r="DG1" s="144"/>
      <c r="DH1" s="35"/>
      <c r="DK1" s="48"/>
      <c r="DL1" s="144" t="s">
        <v>34</v>
      </c>
      <c r="DM1" s="144"/>
      <c r="DN1" s="35"/>
      <c r="DQ1" s="48"/>
      <c r="DR1" s="144" t="s">
        <v>36</v>
      </c>
      <c r="DS1" s="144"/>
      <c r="DT1" s="35"/>
    </row>
    <row r="2" spans="2:126" ht="15" thickBot="1" x14ac:dyDescent="0.35">
      <c r="B2" s="68"/>
      <c r="C2" s="68"/>
      <c r="D2" s="35"/>
      <c r="G2" s="48"/>
      <c r="H2" s="68"/>
      <c r="I2" s="68"/>
      <c r="J2" s="35"/>
      <c r="M2" s="48"/>
      <c r="N2" s="68"/>
      <c r="O2" s="68"/>
      <c r="P2" s="35"/>
      <c r="S2" s="48"/>
      <c r="T2" s="68"/>
      <c r="U2" s="68"/>
      <c r="V2" s="35"/>
      <c r="Y2" s="48"/>
      <c r="Z2" s="68"/>
      <c r="AA2" s="68"/>
      <c r="AB2" s="35"/>
      <c r="AE2" s="48"/>
      <c r="AF2" s="68"/>
      <c r="AG2" s="68"/>
      <c r="AH2" s="35"/>
      <c r="AK2" s="48"/>
      <c r="AL2" s="68"/>
      <c r="AM2" s="68"/>
      <c r="AN2" s="35"/>
      <c r="AQ2" s="48"/>
      <c r="AR2" s="68"/>
      <c r="AS2" s="68"/>
      <c r="AT2" s="35"/>
      <c r="AW2" s="48"/>
      <c r="AX2" s="68"/>
      <c r="AY2" s="68"/>
      <c r="AZ2" s="35"/>
      <c r="BC2" s="48"/>
      <c r="BD2" s="68"/>
      <c r="BE2" s="68"/>
      <c r="BF2" s="35"/>
      <c r="BI2" s="48"/>
      <c r="BJ2" s="68"/>
      <c r="BK2" s="68"/>
      <c r="BL2" s="35"/>
      <c r="BO2" s="48"/>
      <c r="BP2" s="68"/>
      <c r="BQ2" s="68"/>
      <c r="BR2" s="35"/>
      <c r="BU2" s="48"/>
      <c r="BV2" s="68"/>
      <c r="BW2" s="68"/>
      <c r="BX2" s="35"/>
      <c r="CA2" s="48"/>
      <c r="CB2" s="68"/>
      <c r="CC2" s="68"/>
      <c r="CD2" s="35"/>
      <c r="CG2" s="48"/>
      <c r="CH2" s="68"/>
      <c r="CI2" s="68"/>
      <c r="CJ2" s="35"/>
      <c r="CM2" s="48"/>
      <c r="CN2" s="68"/>
      <c r="CO2" s="68"/>
      <c r="CP2" s="35"/>
      <c r="CS2" s="48"/>
      <c r="CT2" s="68"/>
      <c r="CU2" s="68"/>
      <c r="CV2" s="35"/>
      <c r="CY2" s="48"/>
      <c r="CZ2" s="68"/>
      <c r="DA2" s="68"/>
      <c r="DB2" s="35"/>
      <c r="DE2" s="48"/>
      <c r="DF2" s="68"/>
      <c r="DG2" s="68"/>
      <c r="DH2" s="35"/>
      <c r="DK2" s="48"/>
      <c r="DL2" s="68"/>
      <c r="DM2" s="68"/>
      <c r="DN2" s="35"/>
      <c r="DQ2" s="48"/>
      <c r="DR2" s="68"/>
      <c r="DS2" s="68"/>
      <c r="DT2" s="35"/>
    </row>
    <row r="3" spans="2:126" ht="15" thickBot="1" x14ac:dyDescent="0.35">
      <c r="B3" s="69" t="s">
        <v>50</v>
      </c>
      <c r="C3" s="55" t="s">
        <v>51</v>
      </c>
      <c r="D3" s="69" t="s">
        <v>52</v>
      </c>
      <c r="E3" s="69" t="s">
        <v>53</v>
      </c>
      <c r="F3" s="69" t="s">
        <v>54</v>
      </c>
      <c r="G3" s="70"/>
      <c r="H3" s="69" t="s">
        <v>50</v>
      </c>
      <c r="I3" s="55" t="s">
        <v>51</v>
      </c>
      <c r="J3" s="69" t="s">
        <v>52</v>
      </c>
      <c r="K3" s="69" t="s">
        <v>53</v>
      </c>
      <c r="L3" s="69" t="s">
        <v>54</v>
      </c>
      <c r="M3" s="48"/>
      <c r="N3" s="69" t="s">
        <v>50</v>
      </c>
      <c r="O3" s="55" t="s">
        <v>51</v>
      </c>
      <c r="P3" s="69" t="s">
        <v>52</v>
      </c>
      <c r="Q3" s="69" t="s">
        <v>53</v>
      </c>
      <c r="R3" s="69" t="s">
        <v>54</v>
      </c>
      <c r="S3" s="48"/>
      <c r="T3" s="69" t="s">
        <v>50</v>
      </c>
      <c r="U3" s="55" t="s">
        <v>51</v>
      </c>
      <c r="V3" s="69" t="s">
        <v>52</v>
      </c>
      <c r="W3" s="69" t="s">
        <v>53</v>
      </c>
      <c r="X3" s="69" t="s">
        <v>54</v>
      </c>
      <c r="Y3" s="48"/>
      <c r="Z3" s="69" t="s">
        <v>50</v>
      </c>
      <c r="AA3" s="55" t="s">
        <v>51</v>
      </c>
      <c r="AB3" s="69" t="s">
        <v>52</v>
      </c>
      <c r="AC3" s="69" t="s">
        <v>53</v>
      </c>
      <c r="AD3" s="69" t="s">
        <v>54</v>
      </c>
      <c r="AE3" s="48"/>
      <c r="AF3" s="69" t="s">
        <v>50</v>
      </c>
      <c r="AG3" s="55" t="s">
        <v>51</v>
      </c>
      <c r="AH3" s="69" t="s">
        <v>52</v>
      </c>
      <c r="AI3" s="69" t="s">
        <v>53</v>
      </c>
      <c r="AJ3" s="69" t="s">
        <v>54</v>
      </c>
      <c r="AK3" s="48"/>
      <c r="AL3" s="69" t="s">
        <v>50</v>
      </c>
      <c r="AM3" s="55" t="s">
        <v>51</v>
      </c>
      <c r="AN3" s="69" t="s">
        <v>52</v>
      </c>
      <c r="AO3" s="69" t="s">
        <v>53</v>
      </c>
      <c r="AP3" s="69" t="s">
        <v>54</v>
      </c>
      <c r="AQ3" s="48"/>
      <c r="AR3" s="69" t="s">
        <v>50</v>
      </c>
      <c r="AS3" s="55" t="s">
        <v>51</v>
      </c>
      <c r="AT3" s="69" t="s">
        <v>52</v>
      </c>
      <c r="AU3" s="69" t="s">
        <v>53</v>
      </c>
      <c r="AV3" s="69" t="s">
        <v>54</v>
      </c>
      <c r="AW3" s="48"/>
      <c r="AX3" s="69" t="s">
        <v>50</v>
      </c>
      <c r="AY3" s="55" t="s">
        <v>51</v>
      </c>
      <c r="AZ3" s="69" t="s">
        <v>52</v>
      </c>
      <c r="BA3" s="69" t="s">
        <v>53</v>
      </c>
      <c r="BB3" s="69" t="s">
        <v>54</v>
      </c>
      <c r="BC3" s="48"/>
      <c r="BD3" s="69" t="s">
        <v>50</v>
      </c>
      <c r="BE3" s="55" t="s">
        <v>51</v>
      </c>
      <c r="BF3" s="69" t="s">
        <v>52</v>
      </c>
      <c r="BG3" s="69" t="s">
        <v>53</v>
      </c>
      <c r="BH3" s="69" t="s">
        <v>54</v>
      </c>
      <c r="BI3" s="48"/>
      <c r="BJ3" s="69" t="s">
        <v>50</v>
      </c>
      <c r="BK3" s="55" t="s">
        <v>51</v>
      </c>
      <c r="BL3" s="69" t="s">
        <v>52</v>
      </c>
      <c r="BM3" s="69" t="s">
        <v>53</v>
      </c>
      <c r="BN3" s="69" t="s">
        <v>54</v>
      </c>
      <c r="BO3" s="48"/>
      <c r="BP3" s="69" t="s">
        <v>50</v>
      </c>
      <c r="BQ3" s="55" t="s">
        <v>51</v>
      </c>
      <c r="BR3" s="69" t="s">
        <v>52</v>
      </c>
      <c r="BS3" s="69" t="s">
        <v>53</v>
      </c>
      <c r="BT3" s="69" t="s">
        <v>54</v>
      </c>
      <c r="BU3" s="48"/>
      <c r="BV3" s="69" t="s">
        <v>50</v>
      </c>
      <c r="BW3" s="55" t="s">
        <v>51</v>
      </c>
      <c r="BX3" s="69" t="s">
        <v>52</v>
      </c>
      <c r="BY3" s="69" t="s">
        <v>53</v>
      </c>
      <c r="BZ3" s="69" t="s">
        <v>54</v>
      </c>
      <c r="CA3" s="48"/>
      <c r="CB3" s="69" t="s">
        <v>50</v>
      </c>
      <c r="CC3" s="55" t="s">
        <v>51</v>
      </c>
      <c r="CD3" s="69" t="s">
        <v>52</v>
      </c>
      <c r="CE3" s="69" t="s">
        <v>53</v>
      </c>
      <c r="CF3" s="69" t="s">
        <v>54</v>
      </c>
      <c r="CG3" s="48"/>
      <c r="CH3" s="69" t="s">
        <v>50</v>
      </c>
      <c r="CI3" s="55" t="s">
        <v>51</v>
      </c>
      <c r="CJ3" s="69" t="s">
        <v>52</v>
      </c>
      <c r="CK3" s="69" t="s">
        <v>53</v>
      </c>
      <c r="CL3" s="69" t="s">
        <v>54</v>
      </c>
      <c r="CM3" s="48"/>
      <c r="CN3" s="69" t="s">
        <v>50</v>
      </c>
      <c r="CO3" s="55" t="s">
        <v>51</v>
      </c>
      <c r="CP3" s="69" t="s">
        <v>52</v>
      </c>
      <c r="CQ3" s="69" t="s">
        <v>53</v>
      </c>
      <c r="CR3" s="69" t="s">
        <v>54</v>
      </c>
      <c r="CS3" s="48"/>
      <c r="CT3" s="69" t="s">
        <v>50</v>
      </c>
      <c r="CU3" s="55" t="s">
        <v>51</v>
      </c>
      <c r="CV3" s="69" t="s">
        <v>52</v>
      </c>
      <c r="CW3" s="69" t="s">
        <v>53</v>
      </c>
      <c r="CX3" s="69" t="s">
        <v>54</v>
      </c>
      <c r="CY3" s="48"/>
      <c r="CZ3" s="69" t="s">
        <v>50</v>
      </c>
      <c r="DA3" s="55" t="s">
        <v>51</v>
      </c>
      <c r="DB3" s="69" t="s">
        <v>52</v>
      </c>
      <c r="DC3" s="69" t="s">
        <v>53</v>
      </c>
      <c r="DD3" s="69" t="s">
        <v>54</v>
      </c>
      <c r="DE3" s="48"/>
      <c r="DF3" s="69" t="s">
        <v>50</v>
      </c>
      <c r="DG3" s="55" t="s">
        <v>51</v>
      </c>
      <c r="DH3" s="69" t="s">
        <v>52</v>
      </c>
      <c r="DI3" s="69" t="s">
        <v>53</v>
      </c>
      <c r="DJ3" s="69" t="s">
        <v>54</v>
      </c>
      <c r="DK3" s="48"/>
      <c r="DL3" s="69" t="s">
        <v>50</v>
      </c>
      <c r="DM3" s="55" t="s">
        <v>51</v>
      </c>
      <c r="DN3" s="69" t="s">
        <v>52</v>
      </c>
      <c r="DO3" s="69" t="s">
        <v>53</v>
      </c>
      <c r="DP3" s="69" t="s">
        <v>54</v>
      </c>
      <c r="DQ3" s="48"/>
      <c r="DR3" s="69" t="s">
        <v>50</v>
      </c>
      <c r="DS3" s="55" t="s">
        <v>51</v>
      </c>
      <c r="DT3" s="69" t="s">
        <v>52</v>
      </c>
      <c r="DU3" s="69" t="s">
        <v>53</v>
      </c>
      <c r="DV3" s="69" t="s">
        <v>54</v>
      </c>
    </row>
    <row r="4" spans="2:126" x14ac:dyDescent="0.3">
      <c r="B4" s="49">
        <v>1</v>
      </c>
      <c r="C4" s="124" t="s">
        <v>65</v>
      </c>
      <c r="D4" s="51">
        <v>100</v>
      </c>
      <c r="E4" s="33">
        <v>10</v>
      </c>
      <c r="F4" s="33">
        <f>SUM(D4:E4)</f>
        <v>110</v>
      </c>
      <c r="G4" s="48"/>
      <c r="H4" s="49">
        <v>1</v>
      </c>
      <c r="I4" s="124" t="s">
        <v>168</v>
      </c>
      <c r="J4" s="51">
        <v>100</v>
      </c>
      <c r="K4" s="33">
        <v>0</v>
      </c>
      <c r="L4" s="33">
        <f>SUM(J4:K4)</f>
        <v>100</v>
      </c>
      <c r="M4" s="48"/>
      <c r="N4" s="49">
        <v>1</v>
      </c>
      <c r="O4" s="124" t="s">
        <v>68</v>
      </c>
      <c r="P4" s="51">
        <v>100</v>
      </c>
      <c r="Q4" s="33">
        <v>0</v>
      </c>
      <c r="R4" s="33">
        <f>SUM(P4:Q4)</f>
        <v>100</v>
      </c>
      <c r="S4" s="48"/>
      <c r="T4" s="49">
        <v>1</v>
      </c>
      <c r="U4" s="124" t="s">
        <v>64</v>
      </c>
      <c r="V4" s="51">
        <v>100</v>
      </c>
      <c r="W4" s="33">
        <v>10</v>
      </c>
      <c r="X4" s="33">
        <f>SUM(V4:W4)</f>
        <v>110</v>
      </c>
      <c r="Y4" s="48"/>
      <c r="Z4" s="49">
        <v>1</v>
      </c>
      <c r="AA4" s="127" t="s">
        <v>142</v>
      </c>
      <c r="AB4" s="51">
        <v>100</v>
      </c>
      <c r="AC4" s="33">
        <v>0</v>
      </c>
      <c r="AD4" s="33">
        <f>SUM(AB4:AC4)</f>
        <v>100</v>
      </c>
      <c r="AE4" s="48"/>
      <c r="AF4" s="49">
        <v>1</v>
      </c>
      <c r="AG4" s="127" t="s">
        <v>111</v>
      </c>
      <c r="AH4" s="51">
        <v>100</v>
      </c>
      <c r="AI4" s="33">
        <v>0</v>
      </c>
      <c r="AJ4" s="33">
        <f>SUM(AH4:AI4)</f>
        <v>100</v>
      </c>
      <c r="AK4" s="48"/>
      <c r="AL4" s="49">
        <v>1</v>
      </c>
      <c r="AM4" s="127" t="s">
        <v>101</v>
      </c>
      <c r="AN4" s="51">
        <v>100</v>
      </c>
      <c r="AO4" s="33">
        <v>10</v>
      </c>
      <c r="AP4" s="33">
        <f>SUM(AN4:AO4)</f>
        <v>110</v>
      </c>
      <c r="AQ4" s="48"/>
      <c r="AR4" s="49">
        <v>1</v>
      </c>
      <c r="AS4" s="127" t="s">
        <v>68</v>
      </c>
      <c r="AT4" s="51">
        <v>100</v>
      </c>
      <c r="AU4" s="33">
        <v>10</v>
      </c>
      <c r="AV4" s="33">
        <f>SUM(AT4:AU4)</f>
        <v>110</v>
      </c>
      <c r="AW4" s="48"/>
      <c r="AX4" s="49">
        <v>1</v>
      </c>
      <c r="AY4" s="127" t="s">
        <v>178</v>
      </c>
      <c r="AZ4" s="51">
        <v>100</v>
      </c>
      <c r="BA4" s="33">
        <v>0</v>
      </c>
      <c r="BB4" s="33">
        <f>SUM(AZ4:BA4)</f>
        <v>100</v>
      </c>
      <c r="BC4" s="48"/>
      <c r="BD4" s="49">
        <v>1</v>
      </c>
      <c r="BE4" s="127" t="s">
        <v>99</v>
      </c>
      <c r="BF4" s="51">
        <v>100</v>
      </c>
      <c r="BG4" s="33">
        <v>0</v>
      </c>
      <c r="BH4" s="33">
        <f>SUM(BF4:BG4)</f>
        <v>100</v>
      </c>
      <c r="BI4" s="48"/>
      <c r="BJ4" s="49">
        <v>1</v>
      </c>
      <c r="BK4" s="127" t="s">
        <v>100</v>
      </c>
      <c r="BL4" s="51">
        <v>100</v>
      </c>
      <c r="BM4" s="33">
        <v>0</v>
      </c>
      <c r="BN4" s="33">
        <f>SUM(BL4:BM4)</f>
        <v>100</v>
      </c>
      <c r="BO4" s="48"/>
      <c r="BP4" s="49">
        <v>1</v>
      </c>
      <c r="BQ4" s="127" t="s">
        <v>68</v>
      </c>
      <c r="BR4" s="51">
        <v>100</v>
      </c>
      <c r="BS4" s="33">
        <v>10</v>
      </c>
      <c r="BT4" s="33">
        <f>SUM(BR4:BS4)</f>
        <v>110</v>
      </c>
      <c r="BU4" s="48"/>
      <c r="BV4" s="49">
        <v>1</v>
      </c>
      <c r="BW4" s="131" t="s">
        <v>99</v>
      </c>
      <c r="BX4" s="51">
        <v>100</v>
      </c>
      <c r="BY4" s="33">
        <v>0</v>
      </c>
      <c r="BZ4" s="33">
        <f>SUM(BX4:BY4)</f>
        <v>100</v>
      </c>
      <c r="CA4" s="48"/>
      <c r="CB4" s="49">
        <v>1</v>
      </c>
      <c r="CC4" s="131" t="s">
        <v>64</v>
      </c>
      <c r="CD4" s="51">
        <v>100</v>
      </c>
      <c r="CE4" s="33">
        <v>20</v>
      </c>
      <c r="CF4" s="33">
        <f>SUM(CD4:CE4)</f>
        <v>120</v>
      </c>
      <c r="CG4" s="48"/>
      <c r="CH4" s="49">
        <v>1</v>
      </c>
      <c r="CI4" s="131" t="s">
        <v>64</v>
      </c>
      <c r="CJ4" s="51">
        <v>100</v>
      </c>
      <c r="CK4" s="33">
        <v>20</v>
      </c>
      <c r="CL4" s="33">
        <f>SUM(CJ4:CK4)</f>
        <v>120</v>
      </c>
      <c r="CM4" s="48"/>
      <c r="CN4" s="49">
        <v>1</v>
      </c>
      <c r="CO4" s="134" t="s">
        <v>99</v>
      </c>
      <c r="CP4" s="51">
        <v>100</v>
      </c>
      <c r="CQ4" s="33">
        <v>0</v>
      </c>
      <c r="CR4" s="33">
        <f>SUM(CP4:CQ4)</f>
        <v>100</v>
      </c>
      <c r="CS4" s="48"/>
      <c r="CT4" s="49">
        <v>1</v>
      </c>
      <c r="CU4" s="134" t="s">
        <v>144</v>
      </c>
      <c r="CV4" s="51">
        <v>100</v>
      </c>
      <c r="CW4" s="33">
        <v>0</v>
      </c>
      <c r="CX4" s="33">
        <f>SUM(CV4:CW4)</f>
        <v>100</v>
      </c>
      <c r="CY4" s="48"/>
      <c r="CZ4" s="49">
        <v>1</v>
      </c>
      <c r="DA4" s="134" t="s">
        <v>163</v>
      </c>
      <c r="DB4" s="51">
        <v>100</v>
      </c>
      <c r="DC4" s="33">
        <v>0</v>
      </c>
      <c r="DD4" s="33">
        <f>SUM(DB4:DC4)</f>
        <v>100</v>
      </c>
      <c r="DE4" s="48"/>
      <c r="DF4" s="49">
        <v>1</v>
      </c>
      <c r="DG4" s="134" t="s">
        <v>64</v>
      </c>
      <c r="DH4" s="51">
        <v>100</v>
      </c>
      <c r="DI4" s="33">
        <v>10</v>
      </c>
      <c r="DJ4" s="33">
        <f>SUM(DH4:DI4)</f>
        <v>110</v>
      </c>
      <c r="DK4" s="48"/>
      <c r="DL4" s="49">
        <v>1</v>
      </c>
      <c r="DM4" s="134" t="s">
        <v>64</v>
      </c>
      <c r="DN4" s="51">
        <v>100</v>
      </c>
      <c r="DO4" s="33">
        <v>10</v>
      </c>
      <c r="DP4" s="33">
        <f>SUM(DN4:DO4)</f>
        <v>110</v>
      </c>
      <c r="DQ4" s="48"/>
      <c r="DR4" s="49">
        <v>1</v>
      </c>
      <c r="DS4" s="134" t="s">
        <v>64</v>
      </c>
      <c r="DT4" s="51">
        <v>100</v>
      </c>
      <c r="DU4" s="33">
        <v>10</v>
      </c>
      <c r="DV4" s="33">
        <f>SUM(DT4:DU4)</f>
        <v>110</v>
      </c>
    </row>
    <row r="5" spans="2:126" x14ac:dyDescent="0.3">
      <c r="B5" s="49">
        <v>2</v>
      </c>
      <c r="C5" s="125" t="s">
        <v>162</v>
      </c>
      <c r="D5" s="51">
        <v>80</v>
      </c>
      <c r="E5" s="33">
        <v>20</v>
      </c>
      <c r="F5" s="33">
        <f t="shared" ref="F5:F28" si="0">SUM(D5:E5)</f>
        <v>100</v>
      </c>
      <c r="G5" s="48"/>
      <c r="H5" s="49">
        <v>2</v>
      </c>
      <c r="I5" s="125" t="s">
        <v>167</v>
      </c>
      <c r="J5" s="51">
        <v>80</v>
      </c>
      <c r="K5" s="33">
        <v>20</v>
      </c>
      <c r="L5" s="33">
        <f t="shared" ref="L5:L28" si="1">SUM(J5:K5)</f>
        <v>100</v>
      </c>
      <c r="M5" s="48"/>
      <c r="N5" s="49">
        <v>2</v>
      </c>
      <c r="O5" s="125" t="s">
        <v>8</v>
      </c>
      <c r="P5" s="51">
        <v>80</v>
      </c>
      <c r="Q5" s="33">
        <v>0</v>
      </c>
      <c r="R5" s="33">
        <f t="shared" ref="R5:R28" si="2">SUM(P5:Q5)</f>
        <v>80</v>
      </c>
      <c r="S5" s="48"/>
      <c r="T5" s="49">
        <v>2</v>
      </c>
      <c r="U5" s="125" t="s">
        <v>101</v>
      </c>
      <c r="V5" s="51">
        <v>80</v>
      </c>
      <c r="W5" s="33">
        <v>10</v>
      </c>
      <c r="X5" s="33">
        <f t="shared" ref="X5:X28" si="3">SUM(V5:W5)</f>
        <v>90</v>
      </c>
      <c r="Y5" s="48"/>
      <c r="Z5" s="49">
        <v>2</v>
      </c>
      <c r="AA5" s="128" t="s">
        <v>99</v>
      </c>
      <c r="AB5" s="51">
        <v>80</v>
      </c>
      <c r="AC5" s="33">
        <v>0</v>
      </c>
      <c r="AD5" s="33">
        <f t="shared" ref="AD5:AD28" si="4">SUM(AB5:AC5)</f>
        <v>80</v>
      </c>
      <c r="AE5" s="48"/>
      <c r="AF5" s="49">
        <v>2</v>
      </c>
      <c r="AG5" s="128" t="s">
        <v>68</v>
      </c>
      <c r="AH5" s="51">
        <v>80</v>
      </c>
      <c r="AI5" s="33">
        <v>10</v>
      </c>
      <c r="AJ5" s="33">
        <f t="shared" ref="AJ5:AJ28" si="5">SUM(AH5:AI5)</f>
        <v>90</v>
      </c>
      <c r="AK5" s="48"/>
      <c r="AL5" s="49">
        <v>2</v>
      </c>
      <c r="AM5" s="128" t="s">
        <v>64</v>
      </c>
      <c r="AN5" s="51">
        <v>80</v>
      </c>
      <c r="AO5" s="33">
        <v>10</v>
      </c>
      <c r="AP5" s="33">
        <f t="shared" ref="AP5:AP28" si="6">SUM(AN5:AO5)</f>
        <v>90</v>
      </c>
      <c r="AQ5" s="48"/>
      <c r="AR5" s="49">
        <v>2</v>
      </c>
      <c r="AS5" s="128" t="s">
        <v>99</v>
      </c>
      <c r="AT5" s="51">
        <v>80</v>
      </c>
      <c r="AU5" s="33">
        <v>0</v>
      </c>
      <c r="AV5" s="33">
        <f t="shared" ref="AV5:AV28" si="7">SUM(AT5:AU5)</f>
        <v>80</v>
      </c>
      <c r="AW5" s="48"/>
      <c r="AX5" s="49">
        <v>2</v>
      </c>
      <c r="AY5" s="128" t="s">
        <v>108</v>
      </c>
      <c r="AZ5" s="51">
        <v>80</v>
      </c>
      <c r="BA5" s="33">
        <v>0</v>
      </c>
      <c r="BB5" s="33">
        <f t="shared" ref="BB5:BB28" si="8">SUM(AZ5:BA5)</f>
        <v>80</v>
      </c>
      <c r="BC5" s="48"/>
      <c r="BD5" s="49">
        <v>2</v>
      </c>
      <c r="BE5" s="128" t="s">
        <v>68</v>
      </c>
      <c r="BF5" s="51">
        <v>80</v>
      </c>
      <c r="BG5" s="33">
        <v>10</v>
      </c>
      <c r="BH5" s="33">
        <f t="shared" ref="BH5:BH28" si="9">SUM(BF5:BG5)</f>
        <v>90</v>
      </c>
      <c r="BI5" s="48"/>
      <c r="BJ5" s="49">
        <v>2</v>
      </c>
      <c r="BK5" s="128" t="s">
        <v>64</v>
      </c>
      <c r="BL5" s="51">
        <v>80</v>
      </c>
      <c r="BM5" s="33">
        <v>20</v>
      </c>
      <c r="BN5" s="33">
        <f t="shared" ref="BN5:BN28" si="10">SUM(BL5:BM5)</f>
        <v>100</v>
      </c>
      <c r="BO5" s="48"/>
      <c r="BP5" s="49">
        <v>2</v>
      </c>
      <c r="BQ5" s="128" t="s">
        <v>106</v>
      </c>
      <c r="BR5" s="51">
        <v>80</v>
      </c>
      <c r="BS5" s="33">
        <v>0</v>
      </c>
      <c r="BT5" s="33">
        <f t="shared" ref="BT5:BT28" si="11">SUM(BR5:BS5)</f>
        <v>80</v>
      </c>
      <c r="BU5" s="48"/>
      <c r="BV5" s="49">
        <v>2</v>
      </c>
      <c r="BW5" s="132" t="s">
        <v>106</v>
      </c>
      <c r="BX5" s="51">
        <v>80</v>
      </c>
      <c r="BY5" s="33">
        <v>0</v>
      </c>
      <c r="BZ5" s="33">
        <f t="shared" ref="BZ5:BZ28" si="12">SUM(BX5:BY5)</f>
        <v>80</v>
      </c>
      <c r="CA5" s="48"/>
      <c r="CB5" s="49">
        <v>2</v>
      </c>
      <c r="CC5" s="132" t="s">
        <v>100</v>
      </c>
      <c r="CD5" s="51">
        <v>80</v>
      </c>
      <c r="CE5" s="33">
        <v>0</v>
      </c>
      <c r="CF5" s="33">
        <f t="shared" ref="CF5:CF28" si="13">SUM(CD5:CE5)</f>
        <v>80</v>
      </c>
      <c r="CG5" s="48"/>
      <c r="CH5" s="49">
        <v>2</v>
      </c>
      <c r="CI5" s="132" t="s">
        <v>100</v>
      </c>
      <c r="CJ5" s="51">
        <v>80</v>
      </c>
      <c r="CK5" s="33">
        <v>0</v>
      </c>
      <c r="CL5" s="33">
        <f t="shared" ref="CL5:CL28" si="14">SUM(CJ5:CK5)</f>
        <v>80</v>
      </c>
      <c r="CM5" s="48"/>
      <c r="CN5" s="49">
        <v>2</v>
      </c>
      <c r="CO5" s="135" t="s">
        <v>67</v>
      </c>
      <c r="CP5" s="51">
        <v>80</v>
      </c>
      <c r="CQ5" s="33">
        <v>0</v>
      </c>
      <c r="CR5" s="33">
        <f t="shared" ref="CR5:CR28" si="15">SUM(CP5:CQ5)</f>
        <v>80</v>
      </c>
      <c r="CS5" s="48"/>
      <c r="CT5" s="49">
        <v>2</v>
      </c>
      <c r="CU5" s="135" t="s">
        <v>119</v>
      </c>
      <c r="CV5" s="51">
        <v>80</v>
      </c>
      <c r="CW5" s="33">
        <v>0</v>
      </c>
      <c r="CX5" s="33">
        <f t="shared" ref="CX5:CX28" si="16">SUM(CV5:CW5)</f>
        <v>80</v>
      </c>
      <c r="CY5" s="48"/>
      <c r="CZ5" s="49">
        <v>2</v>
      </c>
      <c r="DA5" s="135" t="s">
        <v>230</v>
      </c>
      <c r="DB5" s="51">
        <v>80</v>
      </c>
      <c r="DC5" s="33">
        <v>0</v>
      </c>
      <c r="DD5" s="33">
        <f t="shared" ref="DD5:DD28" si="17">SUM(DB5:DC5)</f>
        <v>80</v>
      </c>
      <c r="DE5" s="48"/>
      <c r="DF5" s="49">
        <v>2</v>
      </c>
      <c r="DG5" s="135" t="s">
        <v>105</v>
      </c>
      <c r="DH5" s="51">
        <v>80</v>
      </c>
      <c r="DI5" s="33">
        <v>0</v>
      </c>
      <c r="DJ5" s="33">
        <f t="shared" ref="DJ5:DJ28" si="18">SUM(DH5:DI5)</f>
        <v>80</v>
      </c>
      <c r="DK5" s="48"/>
      <c r="DL5" s="49">
        <v>2</v>
      </c>
      <c r="DM5" s="135" t="s">
        <v>100</v>
      </c>
      <c r="DN5" s="51">
        <v>80</v>
      </c>
      <c r="DO5" s="33">
        <v>0</v>
      </c>
      <c r="DP5" s="33">
        <f t="shared" ref="DP5:DP28" si="19">SUM(DN5:DO5)</f>
        <v>80</v>
      </c>
      <c r="DQ5" s="48"/>
      <c r="DR5" s="49">
        <v>2</v>
      </c>
      <c r="DS5" s="135" t="s">
        <v>100</v>
      </c>
      <c r="DT5" s="51">
        <v>80</v>
      </c>
      <c r="DU5" s="33">
        <v>0</v>
      </c>
      <c r="DV5" s="33">
        <f t="shared" ref="DV5:DV28" si="20">SUM(DT5:DU5)</f>
        <v>80</v>
      </c>
    </row>
    <row r="6" spans="2:126" x14ac:dyDescent="0.3">
      <c r="B6" s="49">
        <v>3</v>
      </c>
      <c r="C6" s="125" t="s">
        <v>106</v>
      </c>
      <c r="D6" s="51">
        <v>65</v>
      </c>
      <c r="E6" s="33">
        <v>0</v>
      </c>
      <c r="F6" s="33">
        <f t="shared" si="0"/>
        <v>65</v>
      </c>
      <c r="G6" s="48"/>
      <c r="H6" s="49">
        <v>3</v>
      </c>
      <c r="I6" s="125" t="s">
        <v>169</v>
      </c>
      <c r="J6" s="51">
        <v>65</v>
      </c>
      <c r="K6" s="33">
        <v>0</v>
      </c>
      <c r="L6" s="33">
        <f t="shared" si="1"/>
        <v>65</v>
      </c>
      <c r="M6" s="48"/>
      <c r="N6" s="49">
        <v>3</v>
      </c>
      <c r="O6" s="125" t="s">
        <v>109</v>
      </c>
      <c r="P6" s="51">
        <v>65</v>
      </c>
      <c r="Q6" s="33">
        <v>0</v>
      </c>
      <c r="R6" s="33">
        <f t="shared" si="2"/>
        <v>65</v>
      </c>
      <c r="S6" s="48"/>
      <c r="T6" s="49">
        <v>3</v>
      </c>
      <c r="U6" s="125" t="s">
        <v>107</v>
      </c>
      <c r="V6" s="51">
        <v>65</v>
      </c>
      <c r="W6" s="33">
        <v>0</v>
      </c>
      <c r="X6" s="33">
        <f t="shared" si="3"/>
        <v>65</v>
      </c>
      <c r="Y6" s="48"/>
      <c r="Z6" s="49">
        <v>3</v>
      </c>
      <c r="AA6" s="128" t="s">
        <v>130</v>
      </c>
      <c r="AB6" s="51">
        <v>65</v>
      </c>
      <c r="AC6" s="33">
        <v>0</v>
      </c>
      <c r="AD6" s="33">
        <f t="shared" si="4"/>
        <v>65</v>
      </c>
      <c r="AE6" s="48"/>
      <c r="AF6" s="49">
        <v>3</v>
      </c>
      <c r="AG6" s="128" t="s">
        <v>8</v>
      </c>
      <c r="AH6" s="51">
        <v>65</v>
      </c>
      <c r="AI6" s="33">
        <v>0</v>
      </c>
      <c r="AJ6" s="33">
        <f t="shared" si="5"/>
        <v>65</v>
      </c>
      <c r="AK6" s="48"/>
      <c r="AL6" s="49">
        <v>3</v>
      </c>
      <c r="AM6" s="128" t="s">
        <v>102</v>
      </c>
      <c r="AN6" s="51">
        <v>65</v>
      </c>
      <c r="AO6" s="33">
        <v>0</v>
      </c>
      <c r="AP6" s="33">
        <f t="shared" si="6"/>
        <v>65</v>
      </c>
      <c r="AQ6" s="48"/>
      <c r="AR6" s="49">
        <v>3</v>
      </c>
      <c r="AS6" s="128" t="s">
        <v>109</v>
      </c>
      <c r="AT6" s="51">
        <v>65</v>
      </c>
      <c r="AU6" s="33">
        <v>0</v>
      </c>
      <c r="AV6" s="33">
        <f t="shared" si="7"/>
        <v>65</v>
      </c>
      <c r="AW6" s="48"/>
      <c r="AX6" s="49">
        <v>3</v>
      </c>
      <c r="AY6" s="128" t="s">
        <v>126</v>
      </c>
      <c r="AZ6" s="51">
        <v>65</v>
      </c>
      <c r="BA6" s="33">
        <v>0</v>
      </c>
      <c r="BB6" s="33">
        <f t="shared" si="8"/>
        <v>65</v>
      </c>
      <c r="BC6" s="48"/>
      <c r="BD6" s="49">
        <v>3</v>
      </c>
      <c r="BE6" s="128" t="s">
        <v>112</v>
      </c>
      <c r="BF6" s="51">
        <v>65</v>
      </c>
      <c r="BG6" s="33">
        <v>0</v>
      </c>
      <c r="BH6" s="33">
        <f t="shared" si="9"/>
        <v>65</v>
      </c>
      <c r="BI6" s="48"/>
      <c r="BJ6" s="49">
        <v>3</v>
      </c>
      <c r="BK6" s="128" t="s">
        <v>101</v>
      </c>
      <c r="BL6" s="51">
        <v>65</v>
      </c>
      <c r="BM6" s="33">
        <v>10</v>
      </c>
      <c r="BN6" s="33">
        <f t="shared" si="10"/>
        <v>75</v>
      </c>
      <c r="BO6" s="48"/>
      <c r="BP6" s="49">
        <v>3</v>
      </c>
      <c r="BQ6" s="128" t="s">
        <v>112</v>
      </c>
      <c r="BR6" s="51">
        <v>65</v>
      </c>
      <c r="BS6" s="33">
        <v>0</v>
      </c>
      <c r="BT6" s="33">
        <f t="shared" si="11"/>
        <v>65</v>
      </c>
      <c r="BU6" s="48"/>
      <c r="BV6" s="49">
        <v>3</v>
      </c>
      <c r="BW6" s="132" t="s">
        <v>112</v>
      </c>
      <c r="BX6" s="51">
        <v>65</v>
      </c>
      <c r="BY6" s="33">
        <v>0</v>
      </c>
      <c r="BZ6" s="33">
        <f t="shared" si="12"/>
        <v>65</v>
      </c>
      <c r="CA6" s="48"/>
      <c r="CB6" s="49">
        <v>3</v>
      </c>
      <c r="CC6" s="132" t="s">
        <v>101</v>
      </c>
      <c r="CD6" s="51">
        <v>65</v>
      </c>
      <c r="CE6" s="33">
        <v>10</v>
      </c>
      <c r="CF6" s="33">
        <f t="shared" si="13"/>
        <v>75</v>
      </c>
      <c r="CG6" s="48"/>
      <c r="CH6" s="49">
        <v>3</v>
      </c>
      <c r="CI6" s="132" t="s">
        <v>101</v>
      </c>
      <c r="CJ6" s="51">
        <v>65</v>
      </c>
      <c r="CK6" s="33">
        <v>10</v>
      </c>
      <c r="CL6" s="33">
        <f t="shared" si="14"/>
        <v>75</v>
      </c>
      <c r="CM6" s="48"/>
      <c r="CN6" s="49">
        <v>3</v>
      </c>
      <c r="CO6" s="135" t="s">
        <v>130</v>
      </c>
      <c r="CP6" s="51">
        <v>65</v>
      </c>
      <c r="CQ6" s="33">
        <v>0</v>
      </c>
      <c r="CR6" s="33">
        <f t="shared" si="15"/>
        <v>65</v>
      </c>
      <c r="CS6" s="48"/>
      <c r="CT6" s="49">
        <v>3</v>
      </c>
      <c r="CU6" s="135" t="s">
        <v>147</v>
      </c>
      <c r="CV6" s="51">
        <v>65</v>
      </c>
      <c r="CW6" s="33">
        <v>0</v>
      </c>
      <c r="CX6" s="33">
        <f t="shared" si="16"/>
        <v>65</v>
      </c>
      <c r="CY6" s="48"/>
      <c r="CZ6" s="49">
        <v>3</v>
      </c>
      <c r="DA6" s="135" t="s">
        <v>158</v>
      </c>
      <c r="DB6" s="51">
        <v>65</v>
      </c>
      <c r="DC6" s="33">
        <v>0</v>
      </c>
      <c r="DD6" s="33">
        <f t="shared" si="17"/>
        <v>65</v>
      </c>
      <c r="DE6" s="48"/>
      <c r="DF6" s="49">
        <v>3</v>
      </c>
      <c r="DG6" s="135" t="s">
        <v>119</v>
      </c>
      <c r="DH6" s="51">
        <v>65</v>
      </c>
      <c r="DI6" s="33">
        <v>0</v>
      </c>
      <c r="DJ6" s="33">
        <f t="shared" si="18"/>
        <v>65</v>
      </c>
      <c r="DK6" s="48"/>
      <c r="DL6" s="49">
        <v>3</v>
      </c>
      <c r="DM6" s="135" t="s">
        <v>144</v>
      </c>
      <c r="DN6" s="51">
        <v>65</v>
      </c>
      <c r="DO6" s="33">
        <v>10</v>
      </c>
      <c r="DP6" s="33">
        <f t="shared" si="19"/>
        <v>75</v>
      </c>
      <c r="DQ6" s="48"/>
      <c r="DR6" s="49">
        <v>3</v>
      </c>
      <c r="DS6" s="135" t="s">
        <v>101</v>
      </c>
      <c r="DT6" s="51">
        <v>65</v>
      </c>
      <c r="DU6" s="33">
        <v>10</v>
      </c>
      <c r="DV6" s="33">
        <f t="shared" si="20"/>
        <v>75</v>
      </c>
    </row>
    <row r="7" spans="2:126" x14ac:dyDescent="0.3">
      <c r="B7" s="49">
        <v>4</v>
      </c>
      <c r="C7" s="125" t="s">
        <v>64</v>
      </c>
      <c r="D7" s="51">
        <v>55</v>
      </c>
      <c r="E7" s="33">
        <v>0</v>
      </c>
      <c r="F7" s="33">
        <f t="shared" si="0"/>
        <v>55</v>
      </c>
      <c r="G7" s="48"/>
      <c r="H7" s="49">
        <v>4</v>
      </c>
      <c r="I7" s="125" t="s">
        <v>170</v>
      </c>
      <c r="J7" s="51">
        <v>55</v>
      </c>
      <c r="K7" s="33">
        <v>0</v>
      </c>
      <c r="L7" s="33">
        <f t="shared" si="1"/>
        <v>55</v>
      </c>
      <c r="M7" s="48"/>
      <c r="N7" s="49">
        <v>4</v>
      </c>
      <c r="O7" s="125" t="s">
        <v>103</v>
      </c>
      <c r="P7" s="51">
        <v>55</v>
      </c>
      <c r="Q7" s="33">
        <v>0</v>
      </c>
      <c r="R7" s="33">
        <f t="shared" si="2"/>
        <v>55</v>
      </c>
      <c r="S7" s="48"/>
      <c r="T7" s="49">
        <v>4</v>
      </c>
      <c r="U7" s="125" t="s">
        <v>102</v>
      </c>
      <c r="V7" s="51">
        <v>55</v>
      </c>
      <c r="W7" s="33">
        <v>0</v>
      </c>
      <c r="X7" s="33">
        <f t="shared" si="3"/>
        <v>55</v>
      </c>
      <c r="Y7" s="48"/>
      <c r="Z7" s="49">
        <v>4</v>
      </c>
      <c r="AA7" s="128" t="s">
        <v>109</v>
      </c>
      <c r="AB7" s="51">
        <v>55</v>
      </c>
      <c r="AC7" s="33">
        <v>0</v>
      </c>
      <c r="AD7" s="33">
        <f t="shared" si="4"/>
        <v>55</v>
      </c>
      <c r="AE7" s="48"/>
      <c r="AF7" s="49">
        <v>4</v>
      </c>
      <c r="AG7" s="128" t="s">
        <v>67</v>
      </c>
      <c r="AH7" s="51">
        <v>55</v>
      </c>
      <c r="AI7" s="33">
        <v>0</v>
      </c>
      <c r="AJ7" s="33">
        <f t="shared" si="5"/>
        <v>55</v>
      </c>
      <c r="AK7" s="48"/>
      <c r="AL7" s="49">
        <v>4</v>
      </c>
      <c r="AM7" s="128" t="s">
        <v>100</v>
      </c>
      <c r="AN7" s="51">
        <v>55</v>
      </c>
      <c r="AO7" s="33">
        <v>0</v>
      </c>
      <c r="AP7" s="33">
        <f t="shared" si="6"/>
        <v>55</v>
      </c>
      <c r="AQ7" s="48"/>
      <c r="AR7" s="49">
        <v>4</v>
      </c>
      <c r="AS7" s="128" t="s">
        <v>112</v>
      </c>
      <c r="AT7" s="51">
        <v>55</v>
      </c>
      <c r="AU7" s="33">
        <v>0</v>
      </c>
      <c r="AV7" s="33">
        <f t="shared" si="7"/>
        <v>55</v>
      </c>
      <c r="AW7" s="48"/>
      <c r="AX7" s="49">
        <v>4</v>
      </c>
      <c r="AY7" s="128" t="s">
        <v>160</v>
      </c>
      <c r="AZ7" s="51">
        <v>55</v>
      </c>
      <c r="BA7" s="33">
        <v>0</v>
      </c>
      <c r="BB7" s="33">
        <f t="shared" si="8"/>
        <v>55</v>
      </c>
      <c r="BC7" s="48"/>
      <c r="BD7" s="49">
        <v>4</v>
      </c>
      <c r="BE7" s="128" t="s">
        <v>106</v>
      </c>
      <c r="BF7" s="51">
        <v>55</v>
      </c>
      <c r="BG7" s="33">
        <v>0</v>
      </c>
      <c r="BH7" s="33">
        <f t="shared" si="9"/>
        <v>55</v>
      </c>
      <c r="BI7" s="48"/>
      <c r="BJ7" s="49">
        <v>4</v>
      </c>
      <c r="BK7" s="128" t="s">
        <v>102</v>
      </c>
      <c r="BL7" s="51">
        <v>55</v>
      </c>
      <c r="BM7" s="33">
        <v>0</v>
      </c>
      <c r="BN7" s="33">
        <f t="shared" si="10"/>
        <v>55</v>
      </c>
      <c r="BO7" s="48"/>
      <c r="BP7" s="49">
        <v>4</v>
      </c>
      <c r="BQ7" s="128" t="s">
        <v>99</v>
      </c>
      <c r="BR7" s="51">
        <v>55</v>
      </c>
      <c r="BS7" s="33">
        <v>0</v>
      </c>
      <c r="BT7" s="33">
        <f t="shared" si="11"/>
        <v>55</v>
      </c>
      <c r="BU7" s="48"/>
      <c r="BV7" s="49">
        <v>4</v>
      </c>
      <c r="BW7" s="132" t="s">
        <v>68</v>
      </c>
      <c r="BX7" s="51">
        <v>55</v>
      </c>
      <c r="BY7" s="33">
        <v>10</v>
      </c>
      <c r="BZ7" s="33">
        <f t="shared" si="12"/>
        <v>65</v>
      </c>
      <c r="CA7" s="48"/>
      <c r="CB7" s="49">
        <v>4</v>
      </c>
      <c r="CC7" s="132" t="s">
        <v>104</v>
      </c>
      <c r="CD7" s="51">
        <v>55</v>
      </c>
      <c r="CE7" s="33">
        <v>0</v>
      </c>
      <c r="CF7" s="33">
        <f t="shared" si="13"/>
        <v>55</v>
      </c>
      <c r="CG7" s="48"/>
      <c r="CH7" s="49">
        <v>4</v>
      </c>
      <c r="CI7" s="132" t="s">
        <v>157</v>
      </c>
      <c r="CJ7" s="51">
        <v>55</v>
      </c>
      <c r="CK7" s="33">
        <v>0</v>
      </c>
      <c r="CL7" s="33">
        <f t="shared" si="14"/>
        <v>55</v>
      </c>
      <c r="CM7" s="48"/>
      <c r="CN7" s="49">
        <v>4</v>
      </c>
      <c r="CO7" s="135" t="s">
        <v>122</v>
      </c>
      <c r="CP7" s="51">
        <v>55</v>
      </c>
      <c r="CQ7" s="33">
        <v>0</v>
      </c>
      <c r="CR7" s="33">
        <f t="shared" si="15"/>
        <v>55</v>
      </c>
      <c r="CS7" s="48"/>
      <c r="CT7" s="49">
        <v>4</v>
      </c>
      <c r="CU7" s="135" t="s">
        <v>225</v>
      </c>
      <c r="CV7" s="51">
        <v>55</v>
      </c>
      <c r="CW7" s="33">
        <v>0</v>
      </c>
      <c r="CX7" s="33">
        <f t="shared" si="16"/>
        <v>55</v>
      </c>
      <c r="CY7" s="48"/>
      <c r="CZ7" s="49">
        <v>4</v>
      </c>
      <c r="DA7" s="135" t="s">
        <v>148</v>
      </c>
      <c r="DB7" s="51">
        <v>55</v>
      </c>
      <c r="DC7" s="33">
        <v>0</v>
      </c>
      <c r="DD7" s="33">
        <f t="shared" si="17"/>
        <v>55</v>
      </c>
      <c r="DE7" s="48"/>
      <c r="DF7" s="49">
        <v>4</v>
      </c>
      <c r="DG7" s="135" t="s">
        <v>144</v>
      </c>
      <c r="DH7" s="51">
        <v>55</v>
      </c>
      <c r="DI7" s="33">
        <v>10</v>
      </c>
      <c r="DJ7" s="33">
        <f t="shared" si="18"/>
        <v>65</v>
      </c>
      <c r="DK7" s="48"/>
      <c r="DL7" s="49">
        <v>4</v>
      </c>
      <c r="DM7" s="135" t="s">
        <v>101</v>
      </c>
      <c r="DN7" s="51">
        <v>55</v>
      </c>
      <c r="DO7" s="33">
        <v>10</v>
      </c>
      <c r="DP7" s="33">
        <f t="shared" si="19"/>
        <v>65</v>
      </c>
      <c r="DQ7" s="48"/>
      <c r="DR7" s="49">
        <v>4</v>
      </c>
      <c r="DS7" s="135" t="s">
        <v>105</v>
      </c>
      <c r="DT7" s="51">
        <v>55</v>
      </c>
      <c r="DU7" s="33">
        <v>0</v>
      </c>
      <c r="DV7" s="33">
        <f t="shared" si="20"/>
        <v>55</v>
      </c>
    </row>
    <row r="8" spans="2:126" x14ac:dyDescent="0.3">
      <c r="B8" s="49">
        <v>5</v>
      </c>
      <c r="C8" s="125" t="s">
        <v>128</v>
      </c>
      <c r="D8" s="51">
        <v>45</v>
      </c>
      <c r="E8" s="33">
        <v>0</v>
      </c>
      <c r="F8" s="33">
        <f t="shared" si="0"/>
        <v>45</v>
      </c>
      <c r="G8" s="48"/>
      <c r="H8" s="49">
        <v>5</v>
      </c>
      <c r="I8" s="125" t="s">
        <v>171</v>
      </c>
      <c r="J8" s="51">
        <v>45</v>
      </c>
      <c r="K8" s="33">
        <v>0</v>
      </c>
      <c r="L8" s="33">
        <f t="shared" si="1"/>
        <v>45</v>
      </c>
      <c r="M8" s="48"/>
      <c r="N8" s="49">
        <v>5</v>
      </c>
      <c r="O8" s="125" t="s">
        <v>111</v>
      </c>
      <c r="P8" s="51">
        <v>45</v>
      </c>
      <c r="Q8" s="33">
        <v>0</v>
      </c>
      <c r="R8" s="33">
        <f t="shared" si="2"/>
        <v>45</v>
      </c>
      <c r="S8" s="48"/>
      <c r="T8" s="49">
        <v>5</v>
      </c>
      <c r="U8" s="125" t="s">
        <v>100</v>
      </c>
      <c r="V8" s="51">
        <v>45</v>
      </c>
      <c r="W8" s="33">
        <v>0</v>
      </c>
      <c r="X8" s="33">
        <f t="shared" si="3"/>
        <v>45</v>
      </c>
      <c r="Y8" s="48"/>
      <c r="Z8" s="49">
        <v>5</v>
      </c>
      <c r="AA8" s="128" t="s">
        <v>66</v>
      </c>
      <c r="AB8" s="51">
        <v>45</v>
      </c>
      <c r="AC8" s="33">
        <v>0</v>
      </c>
      <c r="AD8" s="33">
        <f t="shared" si="4"/>
        <v>45</v>
      </c>
      <c r="AE8" s="48"/>
      <c r="AF8" s="49">
        <v>5</v>
      </c>
      <c r="AG8" s="128" t="s">
        <v>109</v>
      </c>
      <c r="AH8" s="51">
        <v>45</v>
      </c>
      <c r="AI8" s="33">
        <v>0</v>
      </c>
      <c r="AJ8" s="33">
        <f t="shared" si="5"/>
        <v>45</v>
      </c>
      <c r="AK8" s="48"/>
      <c r="AL8" s="49">
        <v>5</v>
      </c>
      <c r="AM8" s="128" t="s">
        <v>163</v>
      </c>
      <c r="AN8" s="51">
        <v>45</v>
      </c>
      <c r="AO8" s="33">
        <v>0</v>
      </c>
      <c r="AP8" s="33">
        <f t="shared" si="6"/>
        <v>45</v>
      </c>
      <c r="AQ8" s="48"/>
      <c r="AR8" s="49">
        <v>5</v>
      </c>
      <c r="AS8" s="128" t="s">
        <v>146</v>
      </c>
      <c r="AT8" s="51">
        <v>45</v>
      </c>
      <c r="AU8" s="33">
        <v>0</v>
      </c>
      <c r="AV8" s="33">
        <f t="shared" si="7"/>
        <v>45</v>
      </c>
      <c r="AW8" s="48"/>
      <c r="AX8" s="49">
        <v>5</v>
      </c>
      <c r="AY8" s="128" t="s">
        <v>135</v>
      </c>
      <c r="AZ8" s="51">
        <v>45</v>
      </c>
      <c r="BA8" s="33">
        <v>0</v>
      </c>
      <c r="BB8" s="33">
        <f t="shared" si="8"/>
        <v>45</v>
      </c>
      <c r="BC8" s="48"/>
      <c r="BD8" s="49">
        <v>5</v>
      </c>
      <c r="BE8" s="128" t="s">
        <v>8</v>
      </c>
      <c r="BF8" s="51">
        <v>45</v>
      </c>
      <c r="BG8" s="33">
        <v>0</v>
      </c>
      <c r="BH8" s="33">
        <f t="shared" si="9"/>
        <v>45</v>
      </c>
      <c r="BI8" s="48"/>
      <c r="BJ8" s="49">
        <v>5</v>
      </c>
      <c r="BK8" s="128" t="s">
        <v>134</v>
      </c>
      <c r="BL8" s="51">
        <v>45</v>
      </c>
      <c r="BM8" s="33">
        <v>0</v>
      </c>
      <c r="BN8" s="33">
        <f t="shared" si="10"/>
        <v>45</v>
      </c>
      <c r="BO8" s="48"/>
      <c r="BP8" s="49">
        <v>5</v>
      </c>
      <c r="BQ8" s="128" t="s">
        <v>109</v>
      </c>
      <c r="BR8" s="51">
        <v>45</v>
      </c>
      <c r="BS8" s="33">
        <v>0</v>
      </c>
      <c r="BT8" s="33">
        <f t="shared" si="11"/>
        <v>45</v>
      </c>
      <c r="BU8" s="48"/>
      <c r="BV8" s="49">
        <v>5</v>
      </c>
      <c r="BW8" s="132" t="s">
        <v>203</v>
      </c>
      <c r="BX8" s="51">
        <v>45</v>
      </c>
      <c r="BY8" s="33">
        <v>0</v>
      </c>
      <c r="BZ8" s="33">
        <f t="shared" si="12"/>
        <v>45</v>
      </c>
      <c r="CA8" s="48"/>
      <c r="CB8" s="49">
        <v>5</v>
      </c>
      <c r="CC8" s="132" t="s">
        <v>134</v>
      </c>
      <c r="CD8" s="51">
        <v>45</v>
      </c>
      <c r="CE8" s="33">
        <v>0</v>
      </c>
      <c r="CF8" s="33">
        <f t="shared" si="13"/>
        <v>45</v>
      </c>
      <c r="CG8" s="48"/>
      <c r="CH8" s="49">
        <v>5</v>
      </c>
      <c r="CI8" s="132" t="s">
        <v>113</v>
      </c>
      <c r="CJ8" s="51">
        <v>45</v>
      </c>
      <c r="CK8" s="33">
        <v>0</v>
      </c>
      <c r="CL8" s="33">
        <f t="shared" si="14"/>
        <v>45</v>
      </c>
      <c r="CM8" s="48"/>
      <c r="CN8" s="49">
        <v>5</v>
      </c>
      <c r="CO8" s="135" t="s">
        <v>106</v>
      </c>
      <c r="CP8" s="51">
        <v>45</v>
      </c>
      <c r="CQ8" s="33">
        <v>0</v>
      </c>
      <c r="CR8" s="33">
        <f t="shared" si="15"/>
        <v>45</v>
      </c>
      <c r="CS8" s="48"/>
      <c r="CT8" s="49">
        <v>5</v>
      </c>
      <c r="CU8" s="135" t="s">
        <v>152</v>
      </c>
      <c r="CV8" s="51">
        <v>45</v>
      </c>
      <c r="CW8" s="33">
        <v>0</v>
      </c>
      <c r="CX8" s="33">
        <f t="shared" si="16"/>
        <v>45</v>
      </c>
      <c r="CY8" s="48"/>
      <c r="CZ8" s="49">
        <v>5</v>
      </c>
      <c r="DA8" s="135" t="s">
        <v>120</v>
      </c>
      <c r="DB8" s="51">
        <v>45</v>
      </c>
      <c r="DC8" s="33">
        <v>0</v>
      </c>
      <c r="DD8" s="33">
        <f t="shared" si="17"/>
        <v>45</v>
      </c>
      <c r="DE8" s="48"/>
      <c r="DF8" s="49">
        <v>5</v>
      </c>
      <c r="DG8" s="135" t="s">
        <v>101</v>
      </c>
      <c r="DH8" s="51">
        <v>45</v>
      </c>
      <c r="DI8" s="33">
        <v>10</v>
      </c>
      <c r="DJ8" s="33">
        <f t="shared" si="18"/>
        <v>55</v>
      </c>
      <c r="DK8" s="48"/>
      <c r="DL8" s="49">
        <v>5</v>
      </c>
      <c r="DM8" s="135" t="s">
        <v>147</v>
      </c>
      <c r="DN8" s="51">
        <v>45</v>
      </c>
      <c r="DO8" s="33">
        <v>0</v>
      </c>
      <c r="DP8" s="33">
        <f t="shared" si="19"/>
        <v>45</v>
      </c>
      <c r="DQ8" s="48"/>
      <c r="DR8" s="49">
        <v>5</v>
      </c>
      <c r="DS8" s="135" t="s">
        <v>113</v>
      </c>
      <c r="DT8" s="51">
        <v>45</v>
      </c>
      <c r="DU8" s="33">
        <v>0</v>
      </c>
      <c r="DV8" s="33">
        <f t="shared" si="20"/>
        <v>45</v>
      </c>
    </row>
    <row r="9" spans="2:126" x14ac:dyDescent="0.3">
      <c r="B9" s="49">
        <v>6</v>
      </c>
      <c r="C9" s="125" t="s">
        <v>160</v>
      </c>
      <c r="D9" s="51">
        <v>35</v>
      </c>
      <c r="E9" s="33">
        <v>0</v>
      </c>
      <c r="F9" s="33">
        <f t="shared" si="0"/>
        <v>35</v>
      </c>
      <c r="G9" s="48"/>
      <c r="H9" s="49">
        <v>6</v>
      </c>
      <c r="I9" s="125" t="s">
        <v>172</v>
      </c>
      <c r="J9" s="51">
        <v>35</v>
      </c>
      <c r="K9" s="33">
        <v>0</v>
      </c>
      <c r="L9" s="33">
        <f t="shared" si="1"/>
        <v>35</v>
      </c>
      <c r="M9" s="48"/>
      <c r="N9" s="49">
        <v>6</v>
      </c>
      <c r="O9" s="125" t="s">
        <v>67</v>
      </c>
      <c r="P9" s="51">
        <v>35</v>
      </c>
      <c r="Q9" s="33">
        <v>0</v>
      </c>
      <c r="R9" s="33">
        <f t="shared" si="2"/>
        <v>35</v>
      </c>
      <c r="S9" s="48"/>
      <c r="T9" s="49">
        <v>6</v>
      </c>
      <c r="U9" s="125" t="s">
        <v>104</v>
      </c>
      <c r="V9" s="51">
        <v>35</v>
      </c>
      <c r="W9" s="33">
        <v>0</v>
      </c>
      <c r="X9" s="33">
        <f t="shared" si="3"/>
        <v>35</v>
      </c>
      <c r="Y9" s="48"/>
      <c r="Z9" s="49">
        <v>6</v>
      </c>
      <c r="AA9" s="128" t="s">
        <v>112</v>
      </c>
      <c r="AB9" s="51">
        <v>35</v>
      </c>
      <c r="AC9" s="33">
        <v>0</v>
      </c>
      <c r="AD9" s="33">
        <f t="shared" si="4"/>
        <v>35</v>
      </c>
      <c r="AE9" s="48"/>
      <c r="AF9" s="49">
        <v>6</v>
      </c>
      <c r="AG9" s="128" t="s">
        <v>106</v>
      </c>
      <c r="AH9" s="51">
        <v>35</v>
      </c>
      <c r="AI9" s="33">
        <v>0</v>
      </c>
      <c r="AJ9" s="33">
        <f t="shared" si="5"/>
        <v>35</v>
      </c>
      <c r="AK9" s="48"/>
      <c r="AL9" s="49">
        <v>6</v>
      </c>
      <c r="AM9" s="128" t="s">
        <v>168</v>
      </c>
      <c r="AN9" s="51">
        <v>35</v>
      </c>
      <c r="AO9" s="33">
        <v>0</v>
      </c>
      <c r="AP9" s="33">
        <f t="shared" si="6"/>
        <v>35</v>
      </c>
      <c r="AQ9" s="48"/>
      <c r="AR9" s="49">
        <v>6</v>
      </c>
      <c r="AS9" s="128" t="s">
        <v>189</v>
      </c>
      <c r="AT9" s="51">
        <v>35</v>
      </c>
      <c r="AU9" s="33">
        <v>0</v>
      </c>
      <c r="AV9" s="33">
        <f t="shared" si="7"/>
        <v>35</v>
      </c>
      <c r="AW9" s="48"/>
      <c r="AX9" s="49">
        <v>6</v>
      </c>
      <c r="AY9" s="128" t="s">
        <v>70</v>
      </c>
      <c r="AZ9" s="51">
        <v>35</v>
      </c>
      <c r="BA9" s="33">
        <v>0</v>
      </c>
      <c r="BB9" s="33">
        <f t="shared" si="8"/>
        <v>35</v>
      </c>
      <c r="BC9" s="48"/>
      <c r="BD9" s="49">
        <v>6</v>
      </c>
      <c r="BE9" s="128" t="s">
        <v>122</v>
      </c>
      <c r="BF9" s="51">
        <v>35</v>
      </c>
      <c r="BG9" s="33">
        <v>0</v>
      </c>
      <c r="BH9" s="33">
        <f t="shared" si="9"/>
        <v>35</v>
      </c>
      <c r="BI9" s="48"/>
      <c r="BJ9" s="49">
        <v>6</v>
      </c>
      <c r="BK9" s="128" t="s">
        <v>113</v>
      </c>
      <c r="BL9" s="51">
        <v>35</v>
      </c>
      <c r="BM9" s="33">
        <v>0</v>
      </c>
      <c r="BN9" s="33">
        <f t="shared" si="10"/>
        <v>35</v>
      </c>
      <c r="BO9" s="48"/>
      <c r="BP9" s="49">
        <v>6</v>
      </c>
      <c r="BQ9" s="128" t="s">
        <v>130</v>
      </c>
      <c r="BR9" s="51">
        <v>35</v>
      </c>
      <c r="BS9" s="33">
        <v>0</v>
      </c>
      <c r="BT9" s="33">
        <f t="shared" si="11"/>
        <v>35</v>
      </c>
      <c r="BU9" s="48"/>
      <c r="BV9" s="49">
        <v>6</v>
      </c>
      <c r="BW9" s="132" t="s">
        <v>179</v>
      </c>
      <c r="BX9" s="51">
        <v>35</v>
      </c>
      <c r="BY9" s="33">
        <v>0</v>
      </c>
      <c r="BZ9" s="33">
        <f t="shared" si="12"/>
        <v>35</v>
      </c>
      <c r="CA9" s="48"/>
      <c r="CB9" s="49">
        <v>6</v>
      </c>
      <c r="CC9" s="132" t="s">
        <v>121</v>
      </c>
      <c r="CD9" s="51">
        <v>35</v>
      </c>
      <c r="CE9" s="33">
        <v>0</v>
      </c>
      <c r="CF9" s="33">
        <f t="shared" si="13"/>
        <v>35</v>
      </c>
      <c r="CG9" s="48"/>
      <c r="CH9" s="49">
        <v>6</v>
      </c>
      <c r="CI9" s="132" t="s">
        <v>118</v>
      </c>
      <c r="CJ9" s="51">
        <v>35</v>
      </c>
      <c r="CK9" s="33">
        <v>0</v>
      </c>
      <c r="CL9" s="33">
        <f t="shared" si="14"/>
        <v>35</v>
      </c>
      <c r="CM9" s="48"/>
      <c r="CN9" s="49">
        <v>6</v>
      </c>
      <c r="CO9" s="135" t="s">
        <v>112</v>
      </c>
      <c r="CP9" s="51">
        <v>35</v>
      </c>
      <c r="CQ9" s="33">
        <v>0</v>
      </c>
      <c r="CR9" s="33">
        <f t="shared" si="15"/>
        <v>35</v>
      </c>
      <c r="CS9" s="48"/>
      <c r="CT9" s="49">
        <v>6</v>
      </c>
      <c r="CU9" s="135" t="s">
        <v>166</v>
      </c>
      <c r="CV9" s="51">
        <v>35</v>
      </c>
      <c r="CW9" s="33">
        <v>0</v>
      </c>
      <c r="CX9" s="33">
        <f t="shared" si="16"/>
        <v>35</v>
      </c>
      <c r="CY9" s="48"/>
      <c r="CZ9" s="49">
        <v>6</v>
      </c>
      <c r="DA9" s="135" t="s">
        <v>231</v>
      </c>
      <c r="DB9" s="51">
        <v>35</v>
      </c>
      <c r="DC9" s="33">
        <v>0</v>
      </c>
      <c r="DD9" s="33">
        <f t="shared" si="17"/>
        <v>35</v>
      </c>
      <c r="DE9" s="48"/>
      <c r="DF9" s="49">
        <v>6</v>
      </c>
      <c r="DG9" s="135" t="s">
        <v>100</v>
      </c>
      <c r="DH9" s="51">
        <v>35</v>
      </c>
      <c r="DI9" s="33">
        <v>0</v>
      </c>
      <c r="DJ9" s="33">
        <f t="shared" si="18"/>
        <v>35</v>
      </c>
      <c r="DK9" s="48"/>
      <c r="DL9" s="49">
        <v>6</v>
      </c>
      <c r="DM9" s="135" t="s">
        <v>113</v>
      </c>
      <c r="DN9" s="51">
        <v>35</v>
      </c>
      <c r="DO9" s="33">
        <v>0</v>
      </c>
      <c r="DP9" s="33">
        <f t="shared" si="19"/>
        <v>35</v>
      </c>
      <c r="DQ9" s="48"/>
      <c r="DR9" s="49">
        <v>6</v>
      </c>
      <c r="DS9" s="135" t="s">
        <v>126</v>
      </c>
      <c r="DT9" s="51">
        <v>35</v>
      </c>
      <c r="DU9" s="33">
        <v>0</v>
      </c>
      <c r="DV9" s="33">
        <f t="shared" si="20"/>
        <v>35</v>
      </c>
    </row>
    <row r="10" spans="2:126" x14ac:dyDescent="0.3">
      <c r="B10" s="49">
        <v>7</v>
      </c>
      <c r="C10" s="125" t="s">
        <v>103</v>
      </c>
      <c r="D10" s="51">
        <v>30</v>
      </c>
      <c r="E10" s="33">
        <v>0</v>
      </c>
      <c r="F10" s="33">
        <f t="shared" si="0"/>
        <v>30</v>
      </c>
      <c r="G10" s="48"/>
      <c r="H10" s="49">
        <v>7</v>
      </c>
      <c r="I10" s="125" t="s">
        <v>173</v>
      </c>
      <c r="J10" s="51">
        <v>30</v>
      </c>
      <c r="K10" s="33">
        <v>5</v>
      </c>
      <c r="L10" s="33">
        <f t="shared" si="1"/>
        <v>35</v>
      </c>
      <c r="M10" s="48"/>
      <c r="N10" s="49">
        <v>7</v>
      </c>
      <c r="O10" s="125" t="s">
        <v>66</v>
      </c>
      <c r="P10" s="51">
        <v>30</v>
      </c>
      <c r="Q10" s="33">
        <v>0</v>
      </c>
      <c r="R10" s="33">
        <f t="shared" si="2"/>
        <v>30</v>
      </c>
      <c r="S10" s="48"/>
      <c r="T10" s="49">
        <v>7</v>
      </c>
      <c r="U10" s="125" t="s">
        <v>157</v>
      </c>
      <c r="V10" s="51">
        <v>30</v>
      </c>
      <c r="W10" s="33">
        <v>0</v>
      </c>
      <c r="X10" s="33">
        <f t="shared" si="3"/>
        <v>30</v>
      </c>
      <c r="Y10" s="48"/>
      <c r="Z10" s="49">
        <v>7</v>
      </c>
      <c r="AA10" s="128" t="s">
        <v>186</v>
      </c>
      <c r="AB10" s="51">
        <v>30</v>
      </c>
      <c r="AC10" s="33">
        <v>0</v>
      </c>
      <c r="AD10" s="33">
        <f t="shared" si="4"/>
        <v>30</v>
      </c>
      <c r="AE10" s="48"/>
      <c r="AF10" s="49">
        <v>7</v>
      </c>
      <c r="AG10" s="128" t="s">
        <v>186</v>
      </c>
      <c r="AH10" s="51">
        <v>30</v>
      </c>
      <c r="AI10" s="33">
        <v>0</v>
      </c>
      <c r="AJ10" s="33">
        <f t="shared" si="5"/>
        <v>30</v>
      </c>
      <c r="AK10" s="48"/>
      <c r="AL10" s="49">
        <v>7</v>
      </c>
      <c r="AM10" s="128" t="s">
        <v>105</v>
      </c>
      <c r="AN10" s="51">
        <v>30</v>
      </c>
      <c r="AO10" s="33">
        <v>0</v>
      </c>
      <c r="AP10" s="33">
        <f t="shared" si="6"/>
        <v>30</v>
      </c>
      <c r="AQ10" s="48"/>
      <c r="AR10" s="49">
        <v>7</v>
      </c>
      <c r="AS10" s="128" t="s">
        <v>178</v>
      </c>
      <c r="AT10" s="51">
        <v>30</v>
      </c>
      <c r="AU10" s="33">
        <v>0</v>
      </c>
      <c r="AV10" s="33">
        <f t="shared" si="7"/>
        <v>30</v>
      </c>
      <c r="AW10" s="48"/>
      <c r="AX10" s="49">
        <v>7</v>
      </c>
      <c r="AY10" s="128" t="s">
        <v>205</v>
      </c>
      <c r="AZ10" s="51">
        <v>30</v>
      </c>
      <c r="BA10" s="33">
        <v>0</v>
      </c>
      <c r="BB10" s="33">
        <f t="shared" si="8"/>
        <v>30</v>
      </c>
      <c r="BC10" s="48"/>
      <c r="BD10" s="49">
        <v>7</v>
      </c>
      <c r="BE10" s="128" t="s">
        <v>212</v>
      </c>
      <c r="BF10" s="51">
        <v>30</v>
      </c>
      <c r="BG10" s="33">
        <v>0</v>
      </c>
      <c r="BH10" s="33">
        <f t="shared" si="9"/>
        <v>30</v>
      </c>
      <c r="BI10" s="48"/>
      <c r="BJ10" s="49">
        <v>7</v>
      </c>
      <c r="BK10" s="128" t="s">
        <v>118</v>
      </c>
      <c r="BL10" s="51">
        <v>30</v>
      </c>
      <c r="BM10" s="33">
        <v>0</v>
      </c>
      <c r="BN10" s="33">
        <f t="shared" si="10"/>
        <v>30</v>
      </c>
      <c r="BO10" s="48"/>
      <c r="BP10" s="49">
        <v>7</v>
      </c>
      <c r="BQ10" s="128" t="s">
        <v>67</v>
      </c>
      <c r="BR10" s="51">
        <v>30</v>
      </c>
      <c r="BS10" s="33">
        <v>0</v>
      </c>
      <c r="BT10" s="33">
        <f t="shared" si="11"/>
        <v>30</v>
      </c>
      <c r="BU10" s="48"/>
      <c r="BV10" s="49">
        <v>7</v>
      </c>
      <c r="BW10" s="132" t="s">
        <v>196</v>
      </c>
      <c r="BX10" s="51">
        <v>30</v>
      </c>
      <c r="BY10" s="33">
        <v>0</v>
      </c>
      <c r="BZ10" s="33">
        <f t="shared" si="12"/>
        <v>30</v>
      </c>
      <c r="CA10" s="48"/>
      <c r="CB10" s="49">
        <v>7</v>
      </c>
      <c r="CC10" s="132" t="s">
        <v>118</v>
      </c>
      <c r="CD10" s="51">
        <v>30</v>
      </c>
      <c r="CE10" s="33">
        <v>0</v>
      </c>
      <c r="CF10" s="33">
        <f t="shared" si="13"/>
        <v>30</v>
      </c>
      <c r="CG10" s="48"/>
      <c r="CH10" s="49">
        <v>7</v>
      </c>
      <c r="CI10" s="132" t="s">
        <v>121</v>
      </c>
      <c r="CJ10" s="51">
        <v>30</v>
      </c>
      <c r="CK10" s="33">
        <v>0</v>
      </c>
      <c r="CL10" s="33">
        <f t="shared" si="14"/>
        <v>30</v>
      </c>
      <c r="CM10" s="48"/>
      <c r="CN10" s="49">
        <v>7</v>
      </c>
      <c r="CO10" s="135" t="s">
        <v>114</v>
      </c>
      <c r="CP10" s="51">
        <v>30</v>
      </c>
      <c r="CQ10" s="33">
        <v>0</v>
      </c>
      <c r="CR10" s="33">
        <f t="shared" si="15"/>
        <v>30</v>
      </c>
      <c r="CS10" s="48"/>
      <c r="CT10" s="49">
        <v>7</v>
      </c>
      <c r="CU10" s="135" t="s">
        <v>145</v>
      </c>
      <c r="CV10" s="51">
        <v>30</v>
      </c>
      <c r="CW10" s="33">
        <v>0</v>
      </c>
      <c r="CX10" s="33">
        <f t="shared" si="16"/>
        <v>30</v>
      </c>
      <c r="CY10" s="48"/>
      <c r="CZ10" s="49">
        <v>7</v>
      </c>
      <c r="DA10" s="135" t="s">
        <v>232</v>
      </c>
      <c r="DB10" s="51">
        <v>30</v>
      </c>
      <c r="DC10" s="33">
        <v>0</v>
      </c>
      <c r="DD10" s="33">
        <f t="shared" si="17"/>
        <v>30</v>
      </c>
      <c r="DE10" s="48"/>
      <c r="DF10" s="49">
        <v>7</v>
      </c>
      <c r="DG10" s="135" t="s">
        <v>113</v>
      </c>
      <c r="DH10" s="51">
        <v>30</v>
      </c>
      <c r="DI10" s="33">
        <v>0</v>
      </c>
      <c r="DJ10" s="33">
        <f t="shared" si="18"/>
        <v>30</v>
      </c>
      <c r="DK10" s="48"/>
      <c r="DL10" s="49">
        <v>7</v>
      </c>
      <c r="DM10" s="135" t="s">
        <v>105</v>
      </c>
      <c r="DN10" s="51">
        <v>30</v>
      </c>
      <c r="DO10" s="33">
        <v>0</v>
      </c>
      <c r="DP10" s="33">
        <f t="shared" si="19"/>
        <v>30</v>
      </c>
      <c r="DQ10" s="48"/>
      <c r="DR10" s="49">
        <v>7</v>
      </c>
      <c r="DS10" s="135" t="s">
        <v>157</v>
      </c>
      <c r="DT10" s="51">
        <v>30</v>
      </c>
      <c r="DU10" s="33">
        <v>0</v>
      </c>
      <c r="DV10" s="33">
        <f t="shared" si="20"/>
        <v>30</v>
      </c>
    </row>
    <row r="11" spans="2:126" x14ac:dyDescent="0.3">
      <c r="B11" s="49">
        <v>8</v>
      </c>
      <c r="C11" s="125" t="s">
        <v>101</v>
      </c>
      <c r="D11" s="51">
        <v>25</v>
      </c>
      <c r="E11" s="33">
        <v>0</v>
      </c>
      <c r="F11" s="33">
        <f t="shared" si="0"/>
        <v>25</v>
      </c>
      <c r="G11" s="48"/>
      <c r="H11" s="49">
        <v>8</v>
      </c>
      <c r="I11" s="125" t="s">
        <v>174</v>
      </c>
      <c r="J11" s="51">
        <v>25</v>
      </c>
      <c r="K11" s="33">
        <v>0</v>
      </c>
      <c r="L11" s="33">
        <f t="shared" si="1"/>
        <v>25</v>
      </c>
      <c r="M11" s="48"/>
      <c r="N11" s="49">
        <v>8</v>
      </c>
      <c r="O11" s="125" t="s">
        <v>74</v>
      </c>
      <c r="P11" s="51">
        <v>25</v>
      </c>
      <c r="Q11" s="33">
        <v>0</v>
      </c>
      <c r="R11" s="33">
        <f t="shared" si="2"/>
        <v>25</v>
      </c>
      <c r="S11" s="48"/>
      <c r="T11" s="49">
        <v>8</v>
      </c>
      <c r="U11" s="125" t="s">
        <v>113</v>
      </c>
      <c r="V11" s="51">
        <v>25</v>
      </c>
      <c r="W11" s="33">
        <v>0</v>
      </c>
      <c r="X11" s="33">
        <f t="shared" si="3"/>
        <v>25</v>
      </c>
      <c r="Y11" s="48"/>
      <c r="Z11" s="49">
        <v>8</v>
      </c>
      <c r="AA11" s="128" t="s">
        <v>117</v>
      </c>
      <c r="AB11" s="51">
        <v>25</v>
      </c>
      <c r="AC11" s="33">
        <v>0</v>
      </c>
      <c r="AD11" s="33">
        <f t="shared" si="4"/>
        <v>25</v>
      </c>
      <c r="AE11" s="48"/>
      <c r="AF11" s="49">
        <v>8</v>
      </c>
      <c r="AG11" s="128" t="s">
        <v>130</v>
      </c>
      <c r="AH11" s="51">
        <v>25</v>
      </c>
      <c r="AI11" s="33">
        <v>0</v>
      </c>
      <c r="AJ11" s="33">
        <f t="shared" si="5"/>
        <v>25</v>
      </c>
      <c r="AK11" s="48"/>
      <c r="AL11" s="49">
        <v>8</v>
      </c>
      <c r="AM11" s="128" t="s">
        <v>113</v>
      </c>
      <c r="AN11" s="51">
        <v>25</v>
      </c>
      <c r="AO11" s="33">
        <v>0</v>
      </c>
      <c r="AP11" s="33">
        <f t="shared" si="6"/>
        <v>25</v>
      </c>
      <c r="AQ11" s="48"/>
      <c r="AR11" s="49">
        <v>8</v>
      </c>
      <c r="AS11" s="128" t="s">
        <v>150</v>
      </c>
      <c r="AT11" s="51">
        <v>25</v>
      </c>
      <c r="AU11" s="33">
        <v>0</v>
      </c>
      <c r="AV11" s="33">
        <f t="shared" si="7"/>
        <v>25</v>
      </c>
      <c r="AW11" s="48"/>
      <c r="AX11" s="49">
        <v>8</v>
      </c>
      <c r="AY11" s="128" t="s">
        <v>179</v>
      </c>
      <c r="AZ11" s="51">
        <v>25</v>
      </c>
      <c r="BA11" s="33">
        <v>0</v>
      </c>
      <c r="BB11" s="33">
        <f t="shared" si="8"/>
        <v>25</v>
      </c>
      <c r="BC11" s="48"/>
      <c r="BD11" s="49">
        <v>8</v>
      </c>
      <c r="BE11" s="128" t="s">
        <v>67</v>
      </c>
      <c r="BF11" s="51">
        <v>25</v>
      </c>
      <c r="BG11" s="33">
        <v>0</v>
      </c>
      <c r="BH11" s="33">
        <f t="shared" si="9"/>
        <v>25</v>
      </c>
      <c r="BI11" s="48"/>
      <c r="BJ11" s="49">
        <v>8</v>
      </c>
      <c r="BK11" s="128" t="s">
        <v>157</v>
      </c>
      <c r="BL11" s="51">
        <v>25</v>
      </c>
      <c r="BM11" s="33">
        <v>0</v>
      </c>
      <c r="BN11" s="33">
        <f t="shared" si="10"/>
        <v>25</v>
      </c>
      <c r="BO11" s="48"/>
      <c r="BP11" s="49">
        <v>8</v>
      </c>
      <c r="BQ11" s="128" t="s">
        <v>114</v>
      </c>
      <c r="BR11" s="51">
        <v>25</v>
      </c>
      <c r="BS11" s="33">
        <v>0</v>
      </c>
      <c r="BT11" s="33">
        <f t="shared" si="11"/>
        <v>25</v>
      </c>
      <c r="BU11" s="48"/>
      <c r="BV11" s="49">
        <v>8</v>
      </c>
      <c r="BW11" s="132" t="s">
        <v>114</v>
      </c>
      <c r="BX11" s="51">
        <v>25</v>
      </c>
      <c r="BY11" s="33">
        <v>0</v>
      </c>
      <c r="BZ11" s="33">
        <f t="shared" si="12"/>
        <v>25</v>
      </c>
      <c r="CA11" s="48"/>
      <c r="CB11" s="49">
        <v>8</v>
      </c>
      <c r="CC11" s="132" t="s">
        <v>131</v>
      </c>
      <c r="CD11" s="51">
        <v>25</v>
      </c>
      <c r="CE11" s="33">
        <v>0</v>
      </c>
      <c r="CF11" s="33">
        <f t="shared" si="13"/>
        <v>25</v>
      </c>
      <c r="CG11" s="48"/>
      <c r="CH11" s="49">
        <v>8</v>
      </c>
      <c r="CI11" s="132" t="s">
        <v>104</v>
      </c>
      <c r="CJ11" s="51">
        <v>25</v>
      </c>
      <c r="CK11" s="33">
        <v>0</v>
      </c>
      <c r="CL11" s="33">
        <f t="shared" si="14"/>
        <v>25</v>
      </c>
      <c r="CM11" s="48"/>
      <c r="CN11" s="49">
        <v>8</v>
      </c>
      <c r="CO11" s="135" t="s">
        <v>138</v>
      </c>
      <c r="CP11" s="51">
        <v>25</v>
      </c>
      <c r="CQ11" s="33">
        <v>0</v>
      </c>
      <c r="CR11" s="33">
        <f t="shared" si="15"/>
        <v>25</v>
      </c>
      <c r="CS11" s="48"/>
      <c r="CT11" s="49">
        <v>8</v>
      </c>
      <c r="CU11" s="135" t="s">
        <v>149</v>
      </c>
      <c r="CV11" s="51">
        <v>25</v>
      </c>
      <c r="CW11" s="33">
        <v>0</v>
      </c>
      <c r="CX11" s="33">
        <f t="shared" si="16"/>
        <v>25</v>
      </c>
      <c r="CY11" s="48"/>
      <c r="CZ11" s="49">
        <v>8</v>
      </c>
      <c r="DA11" s="135" t="s">
        <v>132</v>
      </c>
      <c r="DB11" s="51">
        <v>25</v>
      </c>
      <c r="DC11" s="33">
        <v>0</v>
      </c>
      <c r="DD11" s="33">
        <f t="shared" si="17"/>
        <v>25</v>
      </c>
      <c r="DE11" s="48"/>
      <c r="DF11" s="49">
        <v>8</v>
      </c>
      <c r="DG11" s="135" t="s">
        <v>157</v>
      </c>
      <c r="DH11" s="51">
        <v>25</v>
      </c>
      <c r="DI11" s="33">
        <v>0</v>
      </c>
      <c r="DJ11" s="33">
        <f t="shared" si="18"/>
        <v>25</v>
      </c>
      <c r="DK11" s="48"/>
      <c r="DL11" s="49">
        <v>8</v>
      </c>
      <c r="DM11" s="135" t="s">
        <v>157</v>
      </c>
      <c r="DN11" s="51">
        <v>25</v>
      </c>
      <c r="DO11" s="33">
        <v>0</v>
      </c>
      <c r="DP11" s="33">
        <f t="shared" si="19"/>
        <v>25</v>
      </c>
      <c r="DQ11" s="48"/>
      <c r="DR11" s="49">
        <v>8</v>
      </c>
      <c r="DS11" s="135" t="s">
        <v>171</v>
      </c>
      <c r="DT11" s="51">
        <v>25</v>
      </c>
      <c r="DU11" s="33">
        <v>0</v>
      </c>
      <c r="DV11" s="33">
        <f t="shared" si="20"/>
        <v>25</v>
      </c>
    </row>
    <row r="12" spans="2:126" x14ac:dyDescent="0.3">
      <c r="B12" s="49">
        <v>9</v>
      </c>
      <c r="C12" s="125" t="s">
        <v>123</v>
      </c>
      <c r="D12" s="51">
        <v>20</v>
      </c>
      <c r="E12" s="33">
        <v>0</v>
      </c>
      <c r="F12" s="33">
        <f t="shared" si="0"/>
        <v>20</v>
      </c>
      <c r="G12" s="48"/>
      <c r="H12" s="49">
        <v>9</v>
      </c>
      <c r="I12" s="125" t="s">
        <v>175</v>
      </c>
      <c r="J12" s="51">
        <v>20</v>
      </c>
      <c r="K12" s="33">
        <v>0</v>
      </c>
      <c r="L12" s="33">
        <f t="shared" si="1"/>
        <v>20</v>
      </c>
      <c r="M12" s="48"/>
      <c r="N12" s="49">
        <v>9</v>
      </c>
      <c r="O12" s="125" t="s">
        <v>122</v>
      </c>
      <c r="P12" s="51">
        <v>20</v>
      </c>
      <c r="Q12" s="33">
        <v>0</v>
      </c>
      <c r="R12" s="33">
        <f t="shared" si="2"/>
        <v>20</v>
      </c>
      <c r="S12" s="48"/>
      <c r="T12" s="49">
        <v>9</v>
      </c>
      <c r="U12" s="125" t="s">
        <v>134</v>
      </c>
      <c r="V12" s="51">
        <v>20</v>
      </c>
      <c r="W12" s="33">
        <v>0</v>
      </c>
      <c r="X12" s="33">
        <f t="shared" si="3"/>
        <v>20</v>
      </c>
      <c r="Y12" s="48"/>
      <c r="Z12" s="49">
        <v>9</v>
      </c>
      <c r="AA12" s="128" t="s">
        <v>68</v>
      </c>
      <c r="AB12" s="51">
        <v>20</v>
      </c>
      <c r="AC12" s="33">
        <v>10</v>
      </c>
      <c r="AD12" s="33">
        <f t="shared" si="4"/>
        <v>30</v>
      </c>
      <c r="AE12" s="48"/>
      <c r="AF12" s="49">
        <v>9</v>
      </c>
      <c r="AG12" s="128" t="s">
        <v>112</v>
      </c>
      <c r="AH12" s="51">
        <v>20</v>
      </c>
      <c r="AI12" s="33">
        <v>0</v>
      </c>
      <c r="AJ12" s="33">
        <f t="shared" si="5"/>
        <v>20</v>
      </c>
      <c r="AK12" s="48"/>
      <c r="AL12" s="49">
        <v>9</v>
      </c>
      <c r="AM12" s="128" t="s">
        <v>135</v>
      </c>
      <c r="AN12" s="51">
        <v>20</v>
      </c>
      <c r="AO12" s="33">
        <v>0</v>
      </c>
      <c r="AP12" s="33">
        <f t="shared" si="6"/>
        <v>20</v>
      </c>
      <c r="AQ12" s="48"/>
      <c r="AR12" s="49">
        <v>9</v>
      </c>
      <c r="AS12" s="128" t="s">
        <v>160</v>
      </c>
      <c r="AT12" s="51">
        <v>20</v>
      </c>
      <c r="AU12" s="33">
        <v>0</v>
      </c>
      <c r="AV12" s="33">
        <f t="shared" si="7"/>
        <v>20</v>
      </c>
      <c r="AW12" s="48"/>
      <c r="AX12" s="49">
        <v>9</v>
      </c>
      <c r="AY12" s="128" t="s">
        <v>68</v>
      </c>
      <c r="AZ12" s="51">
        <v>20</v>
      </c>
      <c r="BA12" s="33">
        <v>10</v>
      </c>
      <c r="BB12" s="33">
        <f t="shared" si="8"/>
        <v>30</v>
      </c>
      <c r="BC12" s="48"/>
      <c r="BD12" s="49">
        <v>9</v>
      </c>
      <c r="BE12" s="128" t="s">
        <v>111</v>
      </c>
      <c r="BF12" s="51">
        <v>20</v>
      </c>
      <c r="BG12" s="33">
        <v>0</v>
      </c>
      <c r="BH12" s="33">
        <f t="shared" si="9"/>
        <v>20</v>
      </c>
      <c r="BI12" s="48"/>
      <c r="BJ12" s="49">
        <v>9</v>
      </c>
      <c r="BK12" s="128" t="s">
        <v>104</v>
      </c>
      <c r="BL12" s="51">
        <v>20</v>
      </c>
      <c r="BM12" s="33">
        <v>0</v>
      </c>
      <c r="BN12" s="33">
        <f t="shared" si="10"/>
        <v>20</v>
      </c>
      <c r="BO12" s="48"/>
      <c r="BP12" s="49">
        <v>9</v>
      </c>
      <c r="BQ12" s="128" t="s">
        <v>111</v>
      </c>
      <c r="BR12" s="51">
        <v>20</v>
      </c>
      <c r="BS12" s="33">
        <v>0</v>
      </c>
      <c r="BT12" s="33">
        <f t="shared" si="11"/>
        <v>20</v>
      </c>
      <c r="BU12" s="48"/>
      <c r="BV12" s="49">
        <v>9</v>
      </c>
      <c r="BW12" s="132" t="s">
        <v>64</v>
      </c>
      <c r="BX12" s="51">
        <v>20</v>
      </c>
      <c r="BY12" s="33">
        <v>20</v>
      </c>
      <c r="BZ12" s="33">
        <f t="shared" si="12"/>
        <v>40</v>
      </c>
      <c r="CA12" s="48"/>
      <c r="CB12" s="49">
        <v>9</v>
      </c>
      <c r="CC12" s="132" t="s">
        <v>105</v>
      </c>
      <c r="CD12" s="51">
        <v>20</v>
      </c>
      <c r="CE12" s="33">
        <v>0</v>
      </c>
      <c r="CF12" s="33">
        <f t="shared" si="13"/>
        <v>20</v>
      </c>
      <c r="CG12" s="48"/>
      <c r="CH12" s="49">
        <v>9</v>
      </c>
      <c r="CI12" s="132" t="s">
        <v>144</v>
      </c>
      <c r="CJ12" s="51">
        <v>20</v>
      </c>
      <c r="CK12" s="33">
        <v>0</v>
      </c>
      <c r="CL12" s="33">
        <f t="shared" si="14"/>
        <v>20</v>
      </c>
      <c r="CM12" s="48"/>
      <c r="CN12" s="49">
        <v>9</v>
      </c>
      <c r="CO12" s="135" t="s">
        <v>189</v>
      </c>
      <c r="CP12" s="51">
        <v>20</v>
      </c>
      <c r="CQ12" s="33">
        <v>0</v>
      </c>
      <c r="CR12" s="33">
        <f t="shared" si="15"/>
        <v>20</v>
      </c>
      <c r="CS12" s="48"/>
      <c r="CT12" s="49">
        <v>9</v>
      </c>
      <c r="CU12" s="135" t="s">
        <v>176</v>
      </c>
      <c r="CV12" s="51">
        <v>20</v>
      </c>
      <c r="CW12" s="33">
        <v>0</v>
      </c>
      <c r="CX12" s="33">
        <f t="shared" si="16"/>
        <v>20</v>
      </c>
      <c r="CY12" s="48"/>
      <c r="CZ12" s="49">
        <v>9</v>
      </c>
      <c r="DA12" s="135" t="s">
        <v>106</v>
      </c>
      <c r="DB12" s="51">
        <v>20</v>
      </c>
      <c r="DC12" s="33">
        <v>0</v>
      </c>
      <c r="DD12" s="33">
        <f t="shared" si="17"/>
        <v>20</v>
      </c>
      <c r="DE12" s="48"/>
      <c r="DF12" s="49">
        <v>9</v>
      </c>
      <c r="DG12" s="135" t="s">
        <v>156</v>
      </c>
      <c r="DH12" s="51">
        <v>20</v>
      </c>
      <c r="DI12" s="33">
        <v>0</v>
      </c>
      <c r="DJ12" s="33">
        <f t="shared" si="18"/>
        <v>20</v>
      </c>
      <c r="DK12" s="48"/>
      <c r="DL12" s="49">
        <v>9</v>
      </c>
      <c r="DM12" s="135" t="s">
        <v>118</v>
      </c>
      <c r="DN12" s="51">
        <v>20</v>
      </c>
      <c r="DO12" s="33">
        <v>0</v>
      </c>
      <c r="DP12" s="33">
        <f t="shared" si="19"/>
        <v>20</v>
      </c>
      <c r="DQ12" s="48"/>
      <c r="DR12" s="49">
        <v>9</v>
      </c>
      <c r="DS12" s="135" t="s">
        <v>121</v>
      </c>
      <c r="DT12" s="51">
        <v>20</v>
      </c>
      <c r="DU12" s="33">
        <v>0</v>
      </c>
      <c r="DV12" s="33">
        <f t="shared" si="20"/>
        <v>20</v>
      </c>
    </row>
    <row r="13" spans="2:126" x14ac:dyDescent="0.3">
      <c r="B13" s="49">
        <v>10</v>
      </c>
      <c r="C13" s="125" t="s">
        <v>129</v>
      </c>
      <c r="D13" s="51">
        <v>17</v>
      </c>
      <c r="E13" s="33">
        <v>0</v>
      </c>
      <c r="F13" s="33">
        <f t="shared" si="0"/>
        <v>17</v>
      </c>
      <c r="G13" s="48"/>
      <c r="H13" s="49">
        <v>10</v>
      </c>
      <c r="I13" s="125" t="s">
        <v>144</v>
      </c>
      <c r="J13" s="51">
        <v>17</v>
      </c>
      <c r="K13" s="33">
        <v>0</v>
      </c>
      <c r="L13" s="33">
        <f t="shared" si="1"/>
        <v>17</v>
      </c>
      <c r="M13" s="48"/>
      <c r="N13" s="49">
        <v>10</v>
      </c>
      <c r="O13" s="125" t="s">
        <v>114</v>
      </c>
      <c r="P13" s="51">
        <v>17</v>
      </c>
      <c r="Q13" s="33">
        <v>0</v>
      </c>
      <c r="R13" s="33">
        <f t="shared" si="2"/>
        <v>17</v>
      </c>
      <c r="S13" s="48"/>
      <c r="T13" s="49">
        <v>10</v>
      </c>
      <c r="U13" s="125" t="s">
        <v>121</v>
      </c>
      <c r="V13" s="51">
        <v>17</v>
      </c>
      <c r="W13" s="33">
        <v>0</v>
      </c>
      <c r="X13" s="33">
        <f t="shared" si="3"/>
        <v>17</v>
      </c>
      <c r="Y13" s="48"/>
      <c r="Z13" s="49">
        <v>10</v>
      </c>
      <c r="AA13" s="128" t="s">
        <v>146</v>
      </c>
      <c r="AB13" s="51">
        <v>17</v>
      </c>
      <c r="AC13" s="33">
        <v>0</v>
      </c>
      <c r="AD13" s="33">
        <f t="shared" si="4"/>
        <v>17</v>
      </c>
      <c r="AE13" s="48"/>
      <c r="AF13" s="49">
        <v>10</v>
      </c>
      <c r="AG13" s="128" t="s">
        <v>195</v>
      </c>
      <c r="AH13" s="51">
        <v>17</v>
      </c>
      <c r="AI13" s="33">
        <v>0</v>
      </c>
      <c r="AJ13" s="33">
        <f t="shared" si="5"/>
        <v>17</v>
      </c>
      <c r="AK13" s="48"/>
      <c r="AL13" s="49">
        <v>10</v>
      </c>
      <c r="AM13" s="128" t="s">
        <v>136</v>
      </c>
      <c r="AN13" s="51">
        <v>17</v>
      </c>
      <c r="AO13" s="33">
        <v>0</v>
      </c>
      <c r="AP13" s="33">
        <f t="shared" si="6"/>
        <v>17</v>
      </c>
      <c r="AQ13" s="48"/>
      <c r="AR13" s="49">
        <v>10</v>
      </c>
      <c r="AS13" s="128" t="s">
        <v>101</v>
      </c>
      <c r="AT13" s="51">
        <v>17</v>
      </c>
      <c r="AU13" s="33">
        <v>10</v>
      </c>
      <c r="AV13" s="33">
        <f t="shared" si="7"/>
        <v>27</v>
      </c>
      <c r="AW13" s="48"/>
      <c r="AX13" s="49">
        <v>10</v>
      </c>
      <c r="AY13" s="128" t="s">
        <v>137</v>
      </c>
      <c r="AZ13" s="51">
        <v>17</v>
      </c>
      <c r="BA13" s="33">
        <v>0</v>
      </c>
      <c r="BB13" s="33">
        <f t="shared" si="8"/>
        <v>17</v>
      </c>
      <c r="BC13" s="48"/>
      <c r="BD13" s="49">
        <v>10</v>
      </c>
      <c r="BE13" s="128" t="s">
        <v>182</v>
      </c>
      <c r="BF13" s="51">
        <v>17</v>
      </c>
      <c r="BG13" s="33">
        <v>0</v>
      </c>
      <c r="BH13" s="33">
        <f t="shared" si="9"/>
        <v>17</v>
      </c>
      <c r="BI13" s="48"/>
      <c r="BJ13" s="49">
        <v>10</v>
      </c>
      <c r="BK13" s="128" t="s">
        <v>131</v>
      </c>
      <c r="BL13" s="51">
        <v>17</v>
      </c>
      <c r="BM13" s="33">
        <v>0</v>
      </c>
      <c r="BN13" s="33">
        <f t="shared" si="10"/>
        <v>17</v>
      </c>
      <c r="BO13" s="48"/>
      <c r="BP13" s="49">
        <v>10</v>
      </c>
      <c r="BQ13" s="128" t="s">
        <v>189</v>
      </c>
      <c r="BR13" s="51">
        <v>17</v>
      </c>
      <c r="BS13" s="33">
        <v>0</v>
      </c>
      <c r="BT13" s="33">
        <f t="shared" si="11"/>
        <v>17</v>
      </c>
      <c r="BU13" s="48"/>
      <c r="BV13" s="49">
        <v>10</v>
      </c>
      <c r="BW13" s="132" t="s">
        <v>138</v>
      </c>
      <c r="BX13" s="51">
        <v>17</v>
      </c>
      <c r="BY13" s="33">
        <v>0</v>
      </c>
      <c r="BZ13" s="33">
        <f t="shared" si="12"/>
        <v>17</v>
      </c>
      <c r="CA13" s="48"/>
      <c r="CB13" s="49">
        <v>10</v>
      </c>
      <c r="CC13" s="132" t="s">
        <v>126</v>
      </c>
      <c r="CD13" s="51">
        <v>17</v>
      </c>
      <c r="CE13" s="33">
        <v>0</v>
      </c>
      <c r="CF13" s="33">
        <f t="shared" si="13"/>
        <v>17</v>
      </c>
      <c r="CG13" s="48"/>
      <c r="CH13" s="49">
        <v>10</v>
      </c>
      <c r="CI13" s="132" t="s">
        <v>131</v>
      </c>
      <c r="CJ13" s="51">
        <v>17</v>
      </c>
      <c r="CK13" s="33">
        <v>0</v>
      </c>
      <c r="CL13" s="33">
        <f t="shared" si="14"/>
        <v>17</v>
      </c>
      <c r="CM13" s="48"/>
      <c r="CN13" s="49">
        <v>10</v>
      </c>
      <c r="CO13" s="135" t="s">
        <v>69</v>
      </c>
      <c r="CP13" s="51">
        <v>17</v>
      </c>
      <c r="CQ13" s="33">
        <v>0</v>
      </c>
      <c r="CR13" s="33">
        <f t="shared" si="15"/>
        <v>17</v>
      </c>
      <c r="CS13" s="48"/>
      <c r="CT13" s="49">
        <v>10</v>
      </c>
      <c r="CU13" s="135" t="s">
        <v>160</v>
      </c>
      <c r="CV13" s="51">
        <v>17</v>
      </c>
      <c r="CW13" s="33">
        <v>0</v>
      </c>
      <c r="CX13" s="33">
        <f t="shared" si="16"/>
        <v>17</v>
      </c>
      <c r="CY13" s="48"/>
      <c r="CZ13" s="49">
        <v>10</v>
      </c>
      <c r="DA13" s="135" t="s">
        <v>137</v>
      </c>
      <c r="DB13" s="51">
        <v>17</v>
      </c>
      <c r="DC13" s="33">
        <v>0</v>
      </c>
      <c r="DD13" s="33">
        <f t="shared" si="17"/>
        <v>17</v>
      </c>
      <c r="DE13" s="48"/>
      <c r="DF13" s="49">
        <v>10</v>
      </c>
      <c r="DG13" s="135" t="s">
        <v>126</v>
      </c>
      <c r="DH13" s="51">
        <v>17</v>
      </c>
      <c r="DI13" s="33">
        <v>0</v>
      </c>
      <c r="DJ13" s="33">
        <f t="shared" si="18"/>
        <v>17</v>
      </c>
      <c r="DK13" s="48"/>
      <c r="DL13" s="49">
        <v>10</v>
      </c>
      <c r="DM13" s="135" t="s">
        <v>65</v>
      </c>
      <c r="DN13" s="51">
        <v>17</v>
      </c>
      <c r="DO13" s="33">
        <v>0</v>
      </c>
      <c r="DP13" s="33">
        <f t="shared" si="19"/>
        <v>17</v>
      </c>
      <c r="DQ13" s="48"/>
      <c r="DR13" s="49">
        <v>10</v>
      </c>
      <c r="DS13" s="135" t="s">
        <v>118</v>
      </c>
      <c r="DT13" s="51">
        <v>17</v>
      </c>
      <c r="DU13" s="33">
        <v>0</v>
      </c>
      <c r="DV13" s="33">
        <f t="shared" si="20"/>
        <v>17</v>
      </c>
    </row>
    <row r="14" spans="2:126" x14ac:dyDescent="0.3">
      <c r="B14" s="49">
        <v>11</v>
      </c>
      <c r="C14" s="125" t="s">
        <v>108</v>
      </c>
      <c r="D14" s="51">
        <v>15</v>
      </c>
      <c r="E14" s="33">
        <v>0</v>
      </c>
      <c r="F14" s="33">
        <f t="shared" si="0"/>
        <v>15</v>
      </c>
      <c r="G14" s="48"/>
      <c r="H14" s="49">
        <v>11</v>
      </c>
      <c r="I14" s="125" t="s">
        <v>176</v>
      </c>
      <c r="J14" s="51">
        <v>15</v>
      </c>
      <c r="K14" s="33">
        <v>0</v>
      </c>
      <c r="L14" s="33">
        <f t="shared" si="1"/>
        <v>15</v>
      </c>
      <c r="M14" s="48"/>
      <c r="N14" s="49">
        <v>11</v>
      </c>
      <c r="O14" s="125" t="s">
        <v>177</v>
      </c>
      <c r="P14" s="51">
        <v>15</v>
      </c>
      <c r="Q14" s="33">
        <v>0</v>
      </c>
      <c r="R14" s="33">
        <f t="shared" si="2"/>
        <v>15</v>
      </c>
      <c r="S14" s="48"/>
      <c r="T14" s="49">
        <v>11</v>
      </c>
      <c r="U14" s="125" t="s">
        <v>131</v>
      </c>
      <c r="V14" s="51">
        <v>15</v>
      </c>
      <c r="W14" s="33">
        <v>0</v>
      </c>
      <c r="X14" s="33">
        <f t="shared" si="3"/>
        <v>15</v>
      </c>
      <c r="Y14" s="48"/>
      <c r="Z14" s="49">
        <v>11</v>
      </c>
      <c r="AA14" s="128" t="s">
        <v>8</v>
      </c>
      <c r="AB14" s="51">
        <v>15</v>
      </c>
      <c r="AC14" s="33">
        <v>0</v>
      </c>
      <c r="AD14" s="33">
        <f t="shared" si="4"/>
        <v>15</v>
      </c>
      <c r="AE14" s="48"/>
      <c r="AF14" s="49">
        <v>11</v>
      </c>
      <c r="AG14" s="128" t="s">
        <v>114</v>
      </c>
      <c r="AH14" s="51">
        <v>15</v>
      </c>
      <c r="AI14" s="33">
        <v>0</v>
      </c>
      <c r="AJ14" s="33">
        <f t="shared" si="5"/>
        <v>15</v>
      </c>
      <c r="AK14" s="48"/>
      <c r="AL14" s="49">
        <v>11</v>
      </c>
      <c r="AM14" s="128" t="s">
        <v>115</v>
      </c>
      <c r="AN14" s="51">
        <v>15</v>
      </c>
      <c r="AO14" s="33">
        <v>0</v>
      </c>
      <c r="AP14" s="33">
        <f t="shared" si="6"/>
        <v>15</v>
      </c>
      <c r="AQ14" s="48"/>
      <c r="AR14" s="49">
        <v>11</v>
      </c>
      <c r="AS14" s="128" t="s">
        <v>202</v>
      </c>
      <c r="AT14" s="51">
        <v>15</v>
      </c>
      <c r="AU14" s="33">
        <v>0</v>
      </c>
      <c r="AV14" s="33">
        <f t="shared" si="7"/>
        <v>15</v>
      </c>
      <c r="AW14" s="48"/>
      <c r="AX14" s="49">
        <v>11</v>
      </c>
      <c r="AY14" s="128" t="s">
        <v>125</v>
      </c>
      <c r="AZ14" s="51">
        <v>15</v>
      </c>
      <c r="BA14" s="33">
        <v>0</v>
      </c>
      <c r="BB14" s="33">
        <f t="shared" si="8"/>
        <v>15</v>
      </c>
      <c r="BC14" s="48"/>
      <c r="BD14" s="49">
        <v>11</v>
      </c>
      <c r="BE14" s="128" t="s">
        <v>146</v>
      </c>
      <c r="BF14" s="51">
        <v>15</v>
      </c>
      <c r="BG14" s="33">
        <v>0</v>
      </c>
      <c r="BH14" s="33">
        <f t="shared" si="9"/>
        <v>15</v>
      </c>
      <c r="BI14" s="48"/>
      <c r="BJ14" s="49">
        <v>11</v>
      </c>
      <c r="BK14" s="128" t="s">
        <v>121</v>
      </c>
      <c r="BL14" s="51">
        <v>15</v>
      </c>
      <c r="BM14" s="33">
        <v>0</v>
      </c>
      <c r="BN14" s="33">
        <f t="shared" si="10"/>
        <v>15</v>
      </c>
      <c r="BO14" s="48"/>
      <c r="BP14" s="49">
        <v>11</v>
      </c>
      <c r="BQ14" s="128" t="s">
        <v>146</v>
      </c>
      <c r="BR14" s="51">
        <v>15</v>
      </c>
      <c r="BS14" s="33">
        <v>0</v>
      </c>
      <c r="BT14" s="33">
        <f t="shared" si="11"/>
        <v>15</v>
      </c>
      <c r="BU14" s="48"/>
      <c r="BV14" s="49">
        <v>11</v>
      </c>
      <c r="BW14" s="132" t="s">
        <v>218</v>
      </c>
      <c r="BX14" s="51">
        <v>15</v>
      </c>
      <c r="BY14" s="33">
        <v>0</v>
      </c>
      <c r="BZ14" s="33">
        <f t="shared" si="12"/>
        <v>15</v>
      </c>
      <c r="CA14" s="48"/>
      <c r="CB14" s="49">
        <v>11</v>
      </c>
      <c r="CC14" s="132" t="s">
        <v>157</v>
      </c>
      <c r="CD14" s="51">
        <v>15</v>
      </c>
      <c r="CE14" s="33">
        <v>0</v>
      </c>
      <c r="CF14" s="33">
        <f t="shared" si="13"/>
        <v>15</v>
      </c>
      <c r="CG14" s="48"/>
      <c r="CH14" s="49">
        <v>11</v>
      </c>
      <c r="CI14" s="132" t="s">
        <v>116</v>
      </c>
      <c r="CJ14" s="51">
        <v>15</v>
      </c>
      <c r="CK14" s="33">
        <v>0</v>
      </c>
      <c r="CL14" s="33">
        <f t="shared" si="14"/>
        <v>15</v>
      </c>
      <c r="CM14" s="48"/>
      <c r="CN14" s="49">
        <v>11</v>
      </c>
      <c r="CO14" s="135" t="s">
        <v>187</v>
      </c>
      <c r="CP14" s="51">
        <v>15</v>
      </c>
      <c r="CQ14" s="33">
        <v>0</v>
      </c>
      <c r="CR14" s="33">
        <f t="shared" si="15"/>
        <v>15</v>
      </c>
      <c r="CS14" s="48"/>
      <c r="CT14" s="49">
        <v>11</v>
      </c>
      <c r="CU14" s="135" t="s">
        <v>148</v>
      </c>
      <c r="CV14" s="51">
        <v>15</v>
      </c>
      <c r="CW14" s="33">
        <v>0</v>
      </c>
      <c r="CX14" s="33">
        <f t="shared" si="16"/>
        <v>15</v>
      </c>
      <c r="CY14" s="48"/>
      <c r="CZ14" s="49">
        <v>11</v>
      </c>
      <c r="DA14" s="135" t="s">
        <v>233</v>
      </c>
      <c r="DB14" s="51">
        <v>15</v>
      </c>
      <c r="DC14" s="33">
        <v>0</v>
      </c>
      <c r="DD14" s="33">
        <f t="shared" si="17"/>
        <v>15</v>
      </c>
      <c r="DE14" s="48"/>
      <c r="DF14" s="49">
        <v>11</v>
      </c>
      <c r="DG14" s="135" t="s">
        <v>118</v>
      </c>
      <c r="DH14" s="51">
        <v>15</v>
      </c>
      <c r="DI14" s="33">
        <v>0</v>
      </c>
      <c r="DJ14" s="33">
        <f t="shared" si="18"/>
        <v>15</v>
      </c>
      <c r="DK14" s="48"/>
      <c r="DL14" s="49">
        <v>11</v>
      </c>
      <c r="DM14" s="135" t="s">
        <v>116</v>
      </c>
      <c r="DN14" s="51">
        <v>15</v>
      </c>
      <c r="DO14" s="33">
        <v>0</v>
      </c>
      <c r="DP14" s="33">
        <f t="shared" si="19"/>
        <v>15</v>
      </c>
      <c r="DQ14" s="48"/>
      <c r="DR14" s="49">
        <v>11</v>
      </c>
      <c r="DS14" s="135" t="s">
        <v>110</v>
      </c>
      <c r="DT14" s="51">
        <v>15</v>
      </c>
      <c r="DU14" s="33">
        <v>0</v>
      </c>
      <c r="DV14" s="33">
        <f t="shared" si="20"/>
        <v>15</v>
      </c>
    </row>
    <row r="15" spans="2:126" x14ac:dyDescent="0.3">
      <c r="B15" s="49">
        <v>12</v>
      </c>
      <c r="C15" s="125" t="s">
        <v>143</v>
      </c>
      <c r="D15" s="51">
        <v>14</v>
      </c>
      <c r="E15" s="33">
        <v>0</v>
      </c>
      <c r="F15" s="33">
        <f t="shared" si="0"/>
        <v>14</v>
      </c>
      <c r="G15" s="48"/>
      <c r="H15" s="49">
        <v>12</v>
      </c>
      <c r="I15" s="125" t="s">
        <v>101</v>
      </c>
      <c r="J15" s="51">
        <v>14</v>
      </c>
      <c r="K15" s="33">
        <v>10</v>
      </c>
      <c r="L15" s="33">
        <f t="shared" si="1"/>
        <v>24</v>
      </c>
      <c r="M15" s="48"/>
      <c r="N15" s="49">
        <v>12</v>
      </c>
      <c r="O15" s="125" t="s">
        <v>178</v>
      </c>
      <c r="P15" s="51">
        <v>14</v>
      </c>
      <c r="Q15" s="33">
        <v>0</v>
      </c>
      <c r="R15" s="33">
        <f t="shared" si="2"/>
        <v>14</v>
      </c>
      <c r="S15" s="48"/>
      <c r="T15" s="49">
        <v>12</v>
      </c>
      <c r="U15" s="125" t="s">
        <v>105</v>
      </c>
      <c r="V15" s="51">
        <v>14</v>
      </c>
      <c r="W15" s="33">
        <v>0</v>
      </c>
      <c r="X15" s="33">
        <f t="shared" si="3"/>
        <v>14</v>
      </c>
      <c r="Y15" s="48"/>
      <c r="Z15" s="49">
        <v>12</v>
      </c>
      <c r="AA15" s="128" t="s">
        <v>111</v>
      </c>
      <c r="AB15" s="51">
        <v>14</v>
      </c>
      <c r="AC15" s="33">
        <v>0</v>
      </c>
      <c r="AD15" s="33">
        <f t="shared" si="4"/>
        <v>14</v>
      </c>
      <c r="AE15" s="48"/>
      <c r="AF15" s="49">
        <v>12</v>
      </c>
      <c r="AG15" s="128" t="s">
        <v>192</v>
      </c>
      <c r="AH15" s="51">
        <v>14</v>
      </c>
      <c r="AI15" s="33">
        <v>0</v>
      </c>
      <c r="AJ15" s="33">
        <f t="shared" si="5"/>
        <v>14</v>
      </c>
      <c r="AK15" s="48"/>
      <c r="AL15" s="49">
        <v>12</v>
      </c>
      <c r="AM15" s="128" t="s">
        <v>187</v>
      </c>
      <c r="AN15" s="51">
        <v>14</v>
      </c>
      <c r="AO15" s="33">
        <v>0</v>
      </c>
      <c r="AP15" s="33">
        <f t="shared" si="6"/>
        <v>14</v>
      </c>
      <c r="AQ15" s="48"/>
      <c r="AR15" s="49">
        <v>12</v>
      </c>
      <c r="AS15" s="128" t="s">
        <v>130</v>
      </c>
      <c r="AT15" s="51">
        <v>14</v>
      </c>
      <c r="AU15" s="33">
        <v>0</v>
      </c>
      <c r="AV15" s="33">
        <f t="shared" si="7"/>
        <v>14</v>
      </c>
      <c r="AW15" s="48"/>
      <c r="AX15" s="49">
        <v>12</v>
      </c>
      <c r="AY15" s="128" t="s">
        <v>206</v>
      </c>
      <c r="AZ15" s="51">
        <v>14</v>
      </c>
      <c r="BA15" s="33">
        <v>0</v>
      </c>
      <c r="BB15" s="33">
        <f t="shared" si="8"/>
        <v>14</v>
      </c>
      <c r="BC15" s="48"/>
      <c r="BD15" s="49">
        <v>12</v>
      </c>
      <c r="BE15" s="128" t="s">
        <v>184</v>
      </c>
      <c r="BF15" s="51">
        <v>14</v>
      </c>
      <c r="BG15" s="33">
        <v>0</v>
      </c>
      <c r="BH15" s="33">
        <f t="shared" si="9"/>
        <v>14</v>
      </c>
      <c r="BI15" s="48"/>
      <c r="BJ15" s="49">
        <v>12</v>
      </c>
      <c r="BK15" s="128" t="s">
        <v>126</v>
      </c>
      <c r="BL15" s="51">
        <v>14</v>
      </c>
      <c r="BM15" s="33">
        <v>0</v>
      </c>
      <c r="BN15" s="33">
        <f t="shared" si="10"/>
        <v>14</v>
      </c>
      <c r="BO15" s="48"/>
      <c r="BP15" s="49">
        <v>12</v>
      </c>
      <c r="BQ15" s="128" t="s">
        <v>122</v>
      </c>
      <c r="BR15" s="51">
        <v>14</v>
      </c>
      <c r="BS15" s="33">
        <v>0</v>
      </c>
      <c r="BT15" s="33">
        <f t="shared" si="11"/>
        <v>14</v>
      </c>
      <c r="BU15" s="48"/>
      <c r="BV15" s="49">
        <v>12</v>
      </c>
      <c r="BW15" s="132" t="s">
        <v>128</v>
      </c>
      <c r="BX15" s="51">
        <v>14</v>
      </c>
      <c r="BY15" s="33">
        <v>0</v>
      </c>
      <c r="BZ15" s="33">
        <f t="shared" si="12"/>
        <v>14</v>
      </c>
      <c r="CA15" s="48"/>
      <c r="CB15" s="49">
        <v>12</v>
      </c>
      <c r="CC15" s="132" t="s">
        <v>113</v>
      </c>
      <c r="CD15" s="51">
        <v>14</v>
      </c>
      <c r="CE15" s="33">
        <v>0</v>
      </c>
      <c r="CF15" s="33">
        <f t="shared" si="13"/>
        <v>14</v>
      </c>
      <c r="CG15" s="48"/>
      <c r="CH15" s="49">
        <v>12</v>
      </c>
      <c r="CI15" s="132" t="s">
        <v>126</v>
      </c>
      <c r="CJ15" s="51">
        <v>14</v>
      </c>
      <c r="CK15" s="33">
        <v>0</v>
      </c>
      <c r="CL15" s="33">
        <f t="shared" si="14"/>
        <v>14</v>
      </c>
      <c r="CM15" s="48"/>
      <c r="CN15" s="49">
        <v>12</v>
      </c>
      <c r="CO15" s="135" t="s">
        <v>125</v>
      </c>
      <c r="CP15" s="51">
        <v>14</v>
      </c>
      <c r="CQ15" s="33">
        <v>0</v>
      </c>
      <c r="CR15" s="33">
        <f t="shared" si="15"/>
        <v>14</v>
      </c>
      <c r="CS15" s="48"/>
      <c r="CT15" s="49">
        <v>12</v>
      </c>
      <c r="CU15" s="135" t="s">
        <v>226</v>
      </c>
      <c r="CV15" s="51">
        <v>14</v>
      </c>
      <c r="CW15" s="33">
        <v>0</v>
      </c>
      <c r="CX15" s="33">
        <f t="shared" si="16"/>
        <v>14</v>
      </c>
      <c r="CY15" s="48"/>
      <c r="CZ15" s="49">
        <v>12</v>
      </c>
      <c r="DA15" s="135" t="s">
        <v>169</v>
      </c>
      <c r="DB15" s="51">
        <v>14</v>
      </c>
      <c r="DC15" s="33">
        <v>0</v>
      </c>
      <c r="DD15" s="33">
        <f t="shared" si="17"/>
        <v>14</v>
      </c>
      <c r="DE15" s="48"/>
      <c r="DF15" s="49">
        <v>12</v>
      </c>
      <c r="DG15" s="135" t="s">
        <v>147</v>
      </c>
      <c r="DH15" s="51">
        <v>14</v>
      </c>
      <c r="DI15" s="33">
        <v>0</v>
      </c>
      <c r="DJ15" s="33">
        <f t="shared" si="18"/>
        <v>14</v>
      </c>
      <c r="DK15" s="48"/>
      <c r="DL15" s="49">
        <v>12</v>
      </c>
      <c r="DM15" s="135" t="s">
        <v>126</v>
      </c>
      <c r="DN15" s="51">
        <v>14</v>
      </c>
      <c r="DO15" s="33">
        <v>0</v>
      </c>
      <c r="DP15" s="33">
        <f t="shared" si="19"/>
        <v>14</v>
      </c>
      <c r="DQ15" s="48"/>
      <c r="DR15" s="49">
        <v>12</v>
      </c>
      <c r="DS15" s="135" t="s">
        <v>119</v>
      </c>
      <c r="DT15" s="51">
        <v>14</v>
      </c>
      <c r="DU15" s="33">
        <v>0</v>
      </c>
      <c r="DV15" s="33">
        <f t="shared" si="20"/>
        <v>14</v>
      </c>
    </row>
    <row r="16" spans="2:126" x14ac:dyDescent="0.3">
      <c r="B16" s="49">
        <v>13</v>
      </c>
      <c r="C16" s="125" t="s">
        <v>159</v>
      </c>
      <c r="D16" s="51">
        <v>13</v>
      </c>
      <c r="E16" s="33">
        <v>0</v>
      </c>
      <c r="F16" s="33">
        <f t="shared" si="0"/>
        <v>13</v>
      </c>
      <c r="G16" s="48"/>
      <c r="H16" s="49">
        <v>13</v>
      </c>
      <c r="I16" s="125" t="s">
        <v>100</v>
      </c>
      <c r="J16" s="51">
        <v>13</v>
      </c>
      <c r="K16" s="33">
        <v>0</v>
      </c>
      <c r="L16" s="33">
        <f t="shared" si="1"/>
        <v>13</v>
      </c>
      <c r="M16" s="48"/>
      <c r="N16" s="49">
        <v>13</v>
      </c>
      <c r="O16" s="125" t="s">
        <v>146</v>
      </c>
      <c r="P16" s="51">
        <v>13</v>
      </c>
      <c r="Q16" s="33">
        <v>0</v>
      </c>
      <c r="R16" s="33">
        <f t="shared" si="2"/>
        <v>13</v>
      </c>
      <c r="S16" s="48"/>
      <c r="T16" s="49">
        <v>13</v>
      </c>
      <c r="U16" s="125" t="s">
        <v>143</v>
      </c>
      <c r="V16" s="51">
        <v>13</v>
      </c>
      <c r="W16" s="33">
        <v>0</v>
      </c>
      <c r="X16" s="33">
        <f t="shared" si="3"/>
        <v>13</v>
      </c>
      <c r="Y16" s="48"/>
      <c r="Z16" s="49">
        <v>13</v>
      </c>
      <c r="AA16" s="128" t="s">
        <v>114</v>
      </c>
      <c r="AB16" s="51">
        <v>13</v>
      </c>
      <c r="AC16" s="33">
        <v>0</v>
      </c>
      <c r="AD16" s="33">
        <f t="shared" si="4"/>
        <v>13</v>
      </c>
      <c r="AE16" s="48"/>
      <c r="AF16" s="49">
        <v>13</v>
      </c>
      <c r="AG16" s="128" t="s">
        <v>117</v>
      </c>
      <c r="AH16" s="51">
        <v>13</v>
      </c>
      <c r="AI16" s="33">
        <v>0</v>
      </c>
      <c r="AJ16" s="33">
        <f t="shared" si="5"/>
        <v>13</v>
      </c>
      <c r="AK16" s="48"/>
      <c r="AL16" s="49">
        <v>13</v>
      </c>
      <c r="AM16" s="128" t="s">
        <v>159</v>
      </c>
      <c r="AN16" s="51">
        <v>13</v>
      </c>
      <c r="AO16" s="33">
        <v>0</v>
      </c>
      <c r="AP16" s="33">
        <f t="shared" si="6"/>
        <v>13</v>
      </c>
      <c r="AQ16" s="48"/>
      <c r="AR16" s="49">
        <v>13</v>
      </c>
      <c r="AS16" s="128" t="s">
        <v>64</v>
      </c>
      <c r="AT16" s="51">
        <v>13</v>
      </c>
      <c r="AU16" s="33">
        <v>10</v>
      </c>
      <c r="AV16" s="33">
        <f t="shared" si="7"/>
        <v>23</v>
      </c>
      <c r="AW16" s="48"/>
      <c r="AX16" s="49">
        <v>13</v>
      </c>
      <c r="AY16" s="128" t="s">
        <v>207</v>
      </c>
      <c r="AZ16" s="51">
        <v>13</v>
      </c>
      <c r="BA16" s="33">
        <v>0</v>
      </c>
      <c r="BB16" s="33">
        <f t="shared" si="8"/>
        <v>13</v>
      </c>
      <c r="BC16" s="48"/>
      <c r="BD16" s="49">
        <v>13</v>
      </c>
      <c r="BE16" s="128" t="s">
        <v>114</v>
      </c>
      <c r="BF16" s="51">
        <v>13</v>
      </c>
      <c r="BG16" s="33">
        <v>0</v>
      </c>
      <c r="BH16" s="33">
        <f t="shared" si="9"/>
        <v>13</v>
      </c>
      <c r="BI16" s="48"/>
      <c r="BJ16" s="49">
        <v>13</v>
      </c>
      <c r="BK16" s="128" t="s">
        <v>119</v>
      </c>
      <c r="BL16" s="51">
        <v>13</v>
      </c>
      <c r="BM16" s="33">
        <v>0</v>
      </c>
      <c r="BN16" s="33">
        <f t="shared" si="10"/>
        <v>13</v>
      </c>
      <c r="BO16" s="48"/>
      <c r="BP16" s="49">
        <v>13</v>
      </c>
      <c r="BQ16" s="128" t="s">
        <v>196</v>
      </c>
      <c r="BR16" s="51">
        <v>13</v>
      </c>
      <c r="BS16" s="33">
        <v>0</v>
      </c>
      <c r="BT16" s="33">
        <f t="shared" si="11"/>
        <v>13</v>
      </c>
      <c r="BU16" s="48"/>
      <c r="BV16" s="49">
        <v>13</v>
      </c>
      <c r="BW16" s="132" t="s">
        <v>212</v>
      </c>
      <c r="BX16" s="51">
        <v>13</v>
      </c>
      <c r="BY16" s="33">
        <v>0</v>
      </c>
      <c r="BZ16" s="33">
        <f t="shared" si="12"/>
        <v>13</v>
      </c>
      <c r="CA16" s="48"/>
      <c r="CB16" s="49">
        <v>13</v>
      </c>
      <c r="CC16" s="132" t="s">
        <v>119</v>
      </c>
      <c r="CD16" s="51">
        <v>13</v>
      </c>
      <c r="CE16" s="33">
        <v>0</v>
      </c>
      <c r="CF16" s="33">
        <f t="shared" si="13"/>
        <v>13</v>
      </c>
      <c r="CG16" s="48"/>
      <c r="CH16" s="49">
        <v>13</v>
      </c>
      <c r="CI16" s="132" t="s">
        <v>134</v>
      </c>
      <c r="CJ16" s="51">
        <v>13</v>
      </c>
      <c r="CK16" s="33">
        <v>0</v>
      </c>
      <c r="CL16" s="33">
        <f t="shared" si="14"/>
        <v>13</v>
      </c>
      <c r="CM16" s="48"/>
      <c r="CN16" s="49">
        <v>13</v>
      </c>
      <c r="CO16" s="135" t="s">
        <v>174</v>
      </c>
      <c r="CP16" s="51">
        <v>13</v>
      </c>
      <c r="CQ16" s="33">
        <v>0</v>
      </c>
      <c r="CR16" s="33">
        <f t="shared" si="15"/>
        <v>13</v>
      </c>
      <c r="CS16" s="48"/>
      <c r="CT16" s="49">
        <v>13</v>
      </c>
      <c r="CU16" s="135" t="s">
        <v>151</v>
      </c>
      <c r="CV16" s="51">
        <v>13</v>
      </c>
      <c r="CW16" s="33">
        <v>0</v>
      </c>
      <c r="CX16" s="33">
        <f t="shared" si="16"/>
        <v>13</v>
      </c>
      <c r="CY16" s="48"/>
      <c r="CZ16" s="49">
        <v>13</v>
      </c>
      <c r="DA16" s="135" t="s">
        <v>201</v>
      </c>
      <c r="DB16" s="51">
        <v>13</v>
      </c>
      <c r="DC16" s="33">
        <v>0</v>
      </c>
      <c r="DD16" s="33">
        <f t="shared" si="17"/>
        <v>13</v>
      </c>
      <c r="DE16" s="48"/>
      <c r="DF16" s="49">
        <v>13</v>
      </c>
      <c r="DG16" s="135" t="s">
        <v>104</v>
      </c>
      <c r="DH16" s="51">
        <v>13</v>
      </c>
      <c r="DI16" s="33">
        <v>0</v>
      </c>
      <c r="DJ16" s="33">
        <f t="shared" si="18"/>
        <v>13</v>
      </c>
      <c r="DK16" s="48"/>
      <c r="DL16" s="49">
        <v>13</v>
      </c>
      <c r="DM16" s="135" t="s">
        <v>134</v>
      </c>
      <c r="DN16" s="51">
        <v>13</v>
      </c>
      <c r="DO16" s="33">
        <v>0</v>
      </c>
      <c r="DP16" s="33">
        <f t="shared" si="19"/>
        <v>13</v>
      </c>
      <c r="DQ16" s="48"/>
      <c r="DR16" s="49">
        <v>13</v>
      </c>
      <c r="DS16" s="135" t="s">
        <v>163</v>
      </c>
      <c r="DT16" s="51">
        <v>13</v>
      </c>
      <c r="DU16" s="33">
        <v>0</v>
      </c>
      <c r="DV16" s="33">
        <f t="shared" si="20"/>
        <v>13</v>
      </c>
    </row>
    <row r="17" spans="1:126" x14ac:dyDescent="0.3">
      <c r="B17" s="49">
        <v>14</v>
      </c>
      <c r="C17" s="125" t="s">
        <v>163</v>
      </c>
      <c r="D17" s="51">
        <v>12</v>
      </c>
      <c r="E17" s="33">
        <v>0</v>
      </c>
      <c r="F17" s="33">
        <f t="shared" si="0"/>
        <v>12</v>
      </c>
      <c r="G17" s="48"/>
      <c r="H17" s="49">
        <v>14</v>
      </c>
      <c r="I17" s="125" t="s">
        <v>64</v>
      </c>
      <c r="J17" s="51">
        <v>12</v>
      </c>
      <c r="K17" s="33">
        <v>10</v>
      </c>
      <c r="L17" s="33">
        <f t="shared" si="1"/>
        <v>22</v>
      </c>
      <c r="M17" s="48"/>
      <c r="N17" s="49">
        <v>14</v>
      </c>
      <c r="O17" s="125" t="s">
        <v>144</v>
      </c>
      <c r="P17" s="51">
        <v>12</v>
      </c>
      <c r="Q17" s="33">
        <v>10</v>
      </c>
      <c r="R17" s="33">
        <f t="shared" si="2"/>
        <v>22</v>
      </c>
      <c r="S17" s="48"/>
      <c r="T17" s="49">
        <v>14</v>
      </c>
      <c r="U17" s="125" t="s">
        <v>118</v>
      </c>
      <c r="V17" s="51">
        <v>12</v>
      </c>
      <c r="W17" s="33">
        <v>0</v>
      </c>
      <c r="X17" s="33">
        <f t="shared" si="3"/>
        <v>12</v>
      </c>
      <c r="Y17" s="48"/>
      <c r="Z17" s="49">
        <v>14</v>
      </c>
      <c r="AA17" s="128" t="s">
        <v>178</v>
      </c>
      <c r="AB17" s="51">
        <v>12</v>
      </c>
      <c r="AC17" s="33">
        <v>0</v>
      </c>
      <c r="AD17" s="33">
        <f t="shared" si="4"/>
        <v>12</v>
      </c>
      <c r="AE17" s="48"/>
      <c r="AF17" s="49">
        <v>14</v>
      </c>
      <c r="AG17" s="128" t="s">
        <v>194</v>
      </c>
      <c r="AH17" s="51">
        <v>12</v>
      </c>
      <c r="AI17" s="33">
        <v>0</v>
      </c>
      <c r="AJ17" s="33">
        <f t="shared" si="5"/>
        <v>12</v>
      </c>
      <c r="AK17" s="48"/>
      <c r="AL17" s="49">
        <v>14</v>
      </c>
      <c r="AM17" s="128" t="s">
        <v>126</v>
      </c>
      <c r="AN17" s="51">
        <v>12</v>
      </c>
      <c r="AO17" s="33">
        <v>0</v>
      </c>
      <c r="AP17" s="33">
        <f t="shared" si="6"/>
        <v>12</v>
      </c>
      <c r="AQ17" s="48"/>
      <c r="AR17" s="49">
        <v>14</v>
      </c>
      <c r="AS17" s="128" t="s">
        <v>203</v>
      </c>
      <c r="AT17" s="51">
        <v>12</v>
      </c>
      <c r="AU17" s="33">
        <v>0</v>
      </c>
      <c r="AV17" s="33">
        <f t="shared" si="7"/>
        <v>12</v>
      </c>
      <c r="AW17" s="48"/>
      <c r="AX17" s="49">
        <v>14</v>
      </c>
      <c r="AY17" s="128" t="s">
        <v>208</v>
      </c>
      <c r="AZ17" s="51">
        <v>12</v>
      </c>
      <c r="BA17" s="33">
        <v>0</v>
      </c>
      <c r="BB17" s="33">
        <f t="shared" si="8"/>
        <v>12</v>
      </c>
      <c r="BC17" s="48"/>
      <c r="BD17" s="49">
        <v>14</v>
      </c>
      <c r="BE17" s="128" t="s">
        <v>189</v>
      </c>
      <c r="BF17" s="51">
        <v>12</v>
      </c>
      <c r="BG17" s="33">
        <v>0</v>
      </c>
      <c r="BH17" s="33">
        <f t="shared" si="9"/>
        <v>12</v>
      </c>
      <c r="BI17" s="48"/>
      <c r="BJ17" s="49">
        <v>14</v>
      </c>
      <c r="BK17" s="128" t="s">
        <v>205</v>
      </c>
      <c r="BL17" s="51">
        <v>12</v>
      </c>
      <c r="BM17" s="33">
        <v>0</v>
      </c>
      <c r="BN17" s="33">
        <f t="shared" si="10"/>
        <v>12</v>
      </c>
      <c r="BO17" s="48"/>
      <c r="BP17" s="49">
        <v>14</v>
      </c>
      <c r="BQ17" s="128" t="s">
        <v>216</v>
      </c>
      <c r="BR17" s="51">
        <v>12</v>
      </c>
      <c r="BS17" s="33">
        <v>0</v>
      </c>
      <c r="BT17" s="33">
        <f t="shared" si="11"/>
        <v>12</v>
      </c>
      <c r="BU17" s="48"/>
      <c r="BV17" s="49">
        <v>14</v>
      </c>
      <c r="BW17" s="132" t="s">
        <v>186</v>
      </c>
      <c r="BX17" s="51">
        <v>12</v>
      </c>
      <c r="BY17" s="33">
        <v>0</v>
      </c>
      <c r="BZ17" s="33">
        <f t="shared" si="12"/>
        <v>12</v>
      </c>
      <c r="CA17" s="48"/>
      <c r="CB17" s="49">
        <v>14</v>
      </c>
      <c r="CC17" s="132" t="s">
        <v>144</v>
      </c>
      <c r="CD17" s="51">
        <v>12</v>
      </c>
      <c r="CE17" s="33">
        <v>0</v>
      </c>
      <c r="CF17" s="33">
        <f t="shared" si="13"/>
        <v>12</v>
      </c>
      <c r="CG17" s="48"/>
      <c r="CH17" s="49">
        <v>14</v>
      </c>
      <c r="CI17" s="132" t="s">
        <v>225</v>
      </c>
      <c r="CJ17" s="51">
        <v>12</v>
      </c>
      <c r="CK17" s="33">
        <v>0</v>
      </c>
      <c r="CL17" s="33">
        <f t="shared" si="14"/>
        <v>12</v>
      </c>
      <c r="CM17" s="48"/>
      <c r="CN17" s="49">
        <v>14</v>
      </c>
      <c r="CO17" s="135" t="s">
        <v>8</v>
      </c>
      <c r="CP17" s="51">
        <v>12</v>
      </c>
      <c r="CQ17" s="33">
        <v>0</v>
      </c>
      <c r="CR17" s="33">
        <f t="shared" si="15"/>
        <v>12</v>
      </c>
      <c r="CS17" s="48"/>
      <c r="CT17" s="49">
        <v>14</v>
      </c>
      <c r="CU17" s="135" t="s">
        <v>200</v>
      </c>
      <c r="CV17" s="51">
        <v>12</v>
      </c>
      <c r="CW17" s="33">
        <v>0</v>
      </c>
      <c r="CX17" s="33">
        <f t="shared" si="16"/>
        <v>12</v>
      </c>
      <c r="CY17" s="48"/>
      <c r="CZ17" s="49">
        <v>14</v>
      </c>
      <c r="DA17" s="135" t="s">
        <v>160</v>
      </c>
      <c r="DB17" s="51">
        <v>12</v>
      </c>
      <c r="DC17" s="33">
        <v>0</v>
      </c>
      <c r="DD17" s="33">
        <f t="shared" si="17"/>
        <v>12</v>
      </c>
      <c r="DE17" s="48"/>
      <c r="DF17" s="49">
        <v>14</v>
      </c>
      <c r="DG17" s="135" t="s">
        <v>121</v>
      </c>
      <c r="DH17" s="51">
        <v>12</v>
      </c>
      <c r="DI17" s="33">
        <v>0</v>
      </c>
      <c r="DJ17" s="33">
        <f t="shared" si="18"/>
        <v>12</v>
      </c>
      <c r="DK17" s="48"/>
      <c r="DL17" s="49">
        <v>14</v>
      </c>
      <c r="DM17" s="135" t="s">
        <v>121</v>
      </c>
      <c r="DN17" s="51">
        <v>12</v>
      </c>
      <c r="DO17" s="33">
        <v>0</v>
      </c>
      <c r="DP17" s="33">
        <f t="shared" si="19"/>
        <v>12</v>
      </c>
      <c r="DQ17" s="48"/>
      <c r="DR17" s="49">
        <v>14</v>
      </c>
      <c r="DS17" s="135" t="s">
        <v>169</v>
      </c>
      <c r="DT17" s="51">
        <v>12</v>
      </c>
      <c r="DU17" s="33">
        <v>0</v>
      </c>
      <c r="DV17" s="33">
        <f t="shared" si="20"/>
        <v>12</v>
      </c>
    </row>
    <row r="18" spans="1:126" x14ac:dyDescent="0.3">
      <c r="B18" s="49">
        <v>15</v>
      </c>
      <c r="C18" s="125" t="s">
        <v>132</v>
      </c>
      <c r="D18" s="51">
        <v>11</v>
      </c>
      <c r="E18" s="33">
        <v>0</v>
      </c>
      <c r="F18" s="33">
        <f t="shared" si="0"/>
        <v>11</v>
      </c>
      <c r="G18" s="48"/>
      <c r="H18" s="49">
        <v>15</v>
      </c>
      <c r="I18" s="125" t="s">
        <v>134</v>
      </c>
      <c r="J18" s="51">
        <v>11</v>
      </c>
      <c r="K18" s="33">
        <v>0</v>
      </c>
      <c r="L18" s="33">
        <f t="shared" si="1"/>
        <v>11</v>
      </c>
      <c r="M18" s="48"/>
      <c r="N18" s="49">
        <v>15</v>
      </c>
      <c r="O18" s="125" t="s">
        <v>112</v>
      </c>
      <c r="P18" s="51">
        <v>11</v>
      </c>
      <c r="Q18" s="33">
        <v>0</v>
      </c>
      <c r="R18" s="33">
        <f t="shared" si="2"/>
        <v>11</v>
      </c>
      <c r="S18" s="48"/>
      <c r="T18" s="49">
        <v>15</v>
      </c>
      <c r="U18" s="125" t="s">
        <v>10</v>
      </c>
      <c r="V18" s="51">
        <v>11</v>
      </c>
      <c r="W18" s="33">
        <v>0</v>
      </c>
      <c r="X18" s="33">
        <f t="shared" si="3"/>
        <v>11</v>
      </c>
      <c r="Y18" s="48"/>
      <c r="Z18" s="49">
        <v>15</v>
      </c>
      <c r="AA18" s="128" t="s">
        <v>122</v>
      </c>
      <c r="AB18" s="51">
        <v>11</v>
      </c>
      <c r="AC18" s="33">
        <v>0</v>
      </c>
      <c r="AD18" s="33">
        <f t="shared" si="4"/>
        <v>11</v>
      </c>
      <c r="AE18" s="48"/>
      <c r="AF18" s="49">
        <v>15</v>
      </c>
      <c r="AG18" s="128" t="s">
        <v>103</v>
      </c>
      <c r="AH18" s="51">
        <v>11</v>
      </c>
      <c r="AI18" s="33">
        <v>0</v>
      </c>
      <c r="AJ18" s="33">
        <f t="shared" si="5"/>
        <v>11</v>
      </c>
      <c r="AK18" s="48"/>
      <c r="AL18" s="49">
        <v>15</v>
      </c>
      <c r="AM18" s="128" t="s">
        <v>107</v>
      </c>
      <c r="AN18" s="51">
        <v>11</v>
      </c>
      <c r="AO18" s="33">
        <v>0</v>
      </c>
      <c r="AP18" s="33">
        <f t="shared" si="6"/>
        <v>11</v>
      </c>
      <c r="AQ18" s="48"/>
      <c r="AR18" s="49">
        <v>15</v>
      </c>
      <c r="AS18" s="128" t="s">
        <v>196</v>
      </c>
      <c r="AT18" s="51">
        <v>11</v>
      </c>
      <c r="AU18" s="33">
        <v>0</v>
      </c>
      <c r="AV18" s="33">
        <f t="shared" si="7"/>
        <v>11</v>
      </c>
      <c r="AW18" s="48"/>
      <c r="AX18" s="49">
        <v>15</v>
      </c>
      <c r="AY18" s="128" t="s">
        <v>141</v>
      </c>
      <c r="AZ18" s="51">
        <v>11</v>
      </c>
      <c r="BA18" s="33">
        <v>0</v>
      </c>
      <c r="BB18" s="33">
        <f t="shared" si="8"/>
        <v>11</v>
      </c>
      <c r="BC18" s="48"/>
      <c r="BD18" s="49">
        <v>15</v>
      </c>
      <c r="BE18" s="128" t="s">
        <v>125</v>
      </c>
      <c r="BF18" s="51">
        <v>11</v>
      </c>
      <c r="BG18" s="33">
        <v>0</v>
      </c>
      <c r="BH18" s="33">
        <f t="shared" si="9"/>
        <v>11</v>
      </c>
      <c r="BI18" s="48"/>
      <c r="BJ18" s="49">
        <v>15</v>
      </c>
      <c r="BK18" s="128" t="s">
        <v>107</v>
      </c>
      <c r="BL18" s="51">
        <v>11</v>
      </c>
      <c r="BM18" s="33">
        <v>0</v>
      </c>
      <c r="BN18" s="33">
        <f t="shared" si="10"/>
        <v>11</v>
      </c>
      <c r="BO18" s="48"/>
      <c r="BP18" s="49">
        <v>15</v>
      </c>
      <c r="BQ18" s="128" t="s">
        <v>179</v>
      </c>
      <c r="BR18" s="51">
        <v>11</v>
      </c>
      <c r="BS18" s="33">
        <v>0</v>
      </c>
      <c r="BT18" s="33">
        <f t="shared" si="11"/>
        <v>11</v>
      </c>
      <c r="BU18" s="48"/>
      <c r="BV18" s="49">
        <v>15</v>
      </c>
      <c r="BW18" s="132" t="s">
        <v>219</v>
      </c>
      <c r="BX18" s="51">
        <v>11</v>
      </c>
      <c r="BY18" s="33">
        <v>0</v>
      </c>
      <c r="BZ18" s="33">
        <f t="shared" si="12"/>
        <v>11</v>
      </c>
      <c r="CA18" s="48"/>
      <c r="CB18" s="49">
        <v>15</v>
      </c>
      <c r="CC18" s="132" t="s">
        <v>151</v>
      </c>
      <c r="CD18" s="51">
        <v>11</v>
      </c>
      <c r="CE18" s="33">
        <v>0</v>
      </c>
      <c r="CF18" s="33">
        <f t="shared" si="13"/>
        <v>11</v>
      </c>
      <c r="CG18" s="48"/>
      <c r="CH18" s="49">
        <v>15</v>
      </c>
      <c r="CI18" s="132" t="s">
        <v>147</v>
      </c>
      <c r="CJ18" s="51">
        <v>11</v>
      </c>
      <c r="CK18" s="33">
        <v>0</v>
      </c>
      <c r="CL18" s="33">
        <f t="shared" si="14"/>
        <v>11</v>
      </c>
      <c r="CM18" s="48"/>
      <c r="CN18" s="49">
        <v>15</v>
      </c>
      <c r="CO18" s="135" t="s">
        <v>182</v>
      </c>
      <c r="CP18" s="51">
        <v>11</v>
      </c>
      <c r="CQ18" s="33">
        <v>0</v>
      </c>
      <c r="CR18" s="33">
        <f t="shared" si="15"/>
        <v>11</v>
      </c>
      <c r="CS18" s="48"/>
      <c r="CT18" s="49">
        <v>15</v>
      </c>
      <c r="CU18" s="135" t="s">
        <v>164</v>
      </c>
      <c r="CV18" s="51">
        <v>11</v>
      </c>
      <c r="CW18" s="33">
        <v>0</v>
      </c>
      <c r="CX18" s="33">
        <f t="shared" si="16"/>
        <v>11</v>
      </c>
      <c r="CY18" s="48"/>
      <c r="CZ18" s="49">
        <v>15</v>
      </c>
      <c r="DA18" s="135" t="s">
        <v>217</v>
      </c>
      <c r="DB18" s="51">
        <v>11</v>
      </c>
      <c r="DC18" s="33">
        <v>0</v>
      </c>
      <c r="DD18" s="33">
        <f t="shared" si="17"/>
        <v>11</v>
      </c>
      <c r="DE18" s="48"/>
      <c r="DF18" s="49">
        <v>15</v>
      </c>
      <c r="DG18" s="135" t="s">
        <v>132</v>
      </c>
      <c r="DH18" s="51">
        <v>11</v>
      </c>
      <c r="DI18" s="33">
        <v>0</v>
      </c>
      <c r="DJ18" s="33">
        <f t="shared" si="18"/>
        <v>11</v>
      </c>
      <c r="DK18" s="48"/>
      <c r="DL18" s="49">
        <v>15</v>
      </c>
      <c r="DM18" s="135" t="s">
        <v>104</v>
      </c>
      <c r="DN18" s="51">
        <v>11</v>
      </c>
      <c r="DO18" s="33">
        <v>0</v>
      </c>
      <c r="DP18" s="33">
        <f t="shared" si="19"/>
        <v>11</v>
      </c>
      <c r="DQ18" s="48"/>
      <c r="DR18" s="49">
        <v>15</v>
      </c>
      <c r="DS18" s="135" t="s">
        <v>124</v>
      </c>
      <c r="DT18" s="51">
        <v>11</v>
      </c>
      <c r="DU18" s="33">
        <v>0</v>
      </c>
      <c r="DV18" s="33">
        <f t="shared" si="20"/>
        <v>11</v>
      </c>
    </row>
    <row r="19" spans="1:126" x14ac:dyDescent="0.3">
      <c r="B19" s="49">
        <v>16</v>
      </c>
      <c r="C19" s="125" t="s">
        <v>100</v>
      </c>
      <c r="D19" s="51">
        <v>10</v>
      </c>
      <c r="E19" s="33">
        <v>0</v>
      </c>
      <c r="F19" s="33">
        <f t="shared" si="0"/>
        <v>10</v>
      </c>
      <c r="G19" s="48"/>
      <c r="H19" s="49">
        <v>16</v>
      </c>
      <c r="I19" s="125" t="s">
        <v>124</v>
      </c>
      <c r="J19" s="51">
        <v>10</v>
      </c>
      <c r="K19" s="33">
        <v>0</v>
      </c>
      <c r="L19" s="33">
        <f t="shared" si="1"/>
        <v>10</v>
      </c>
      <c r="M19" s="48"/>
      <c r="N19" s="49">
        <v>16</v>
      </c>
      <c r="O19" s="125" t="s">
        <v>117</v>
      </c>
      <c r="P19" s="51">
        <v>10</v>
      </c>
      <c r="Q19" s="33">
        <v>0</v>
      </c>
      <c r="R19" s="33">
        <f t="shared" si="2"/>
        <v>10</v>
      </c>
      <c r="S19" s="48"/>
      <c r="T19" s="49">
        <v>16</v>
      </c>
      <c r="U19" s="125" t="s">
        <v>115</v>
      </c>
      <c r="V19" s="51">
        <v>10</v>
      </c>
      <c r="W19" s="33">
        <v>0</v>
      </c>
      <c r="X19" s="33">
        <f t="shared" si="3"/>
        <v>10</v>
      </c>
      <c r="Y19" s="48"/>
      <c r="Z19" s="49">
        <v>16</v>
      </c>
      <c r="AA19" s="128" t="s">
        <v>187</v>
      </c>
      <c r="AB19" s="51">
        <v>10</v>
      </c>
      <c r="AC19" s="33">
        <v>0</v>
      </c>
      <c r="AD19" s="33">
        <f t="shared" si="4"/>
        <v>10</v>
      </c>
      <c r="AE19" s="48"/>
      <c r="AF19" s="49">
        <v>16</v>
      </c>
      <c r="AG19" s="128" t="s">
        <v>125</v>
      </c>
      <c r="AH19" s="51">
        <v>10</v>
      </c>
      <c r="AI19" s="33">
        <v>0</v>
      </c>
      <c r="AJ19" s="33">
        <f t="shared" si="5"/>
        <v>10</v>
      </c>
      <c r="AK19" s="48"/>
      <c r="AL19" s="49">
        <v>16</v>
      </c>
      <c r="AM19" s="128" t="s">
        <v>172</v>
      </c>
      <c r="AN19" s="51">
        <v>10</v>
      </c>
      <c r="AO19" s="33">
        <v>0</v>
      </c>
      <c r="AP19" s="33">
        <f t="shared" si="6"/>
        <v>10</v>
      </c>
      <c r="AQ19" s="48"/>
      <c r="AR19" s="49">
        <v>16</v>
      </c>
      <c r="AS19" s="128" t="s">
        <v>128</v>
      </c>
      <c r="AT19" s="51">
        <v>10</v>
      </c>
      <c r="AU19" s="33">
        <v>0</v>
      </c>
      <c r="AV19" s="33">
        <f t="shared" si="7"/>
        <v>10</v>
      </c>
      <c r="AW19" s="48"/>
      <c r="AX19" s="49">
        <v>16</v>
      </c>
      <c r="AY19" s="128" t="s">
        <v>112</v>
      </c>
      <c r="AZ19" s="51">
        <v>10</v>
      </c>
      <c r="BA19" s="33">
        <v>0</v>
      </c>
      <c r="BB19" s="33">
        <f t="shared" si="8"/>
        <v>10</v>
      </c>
      <c r="BC19" s="48"/>
      <c r="BD19" s="49">
        <v>16</v>
      </c>
      <c r="BE19" s="128" t="s">
        <v>130</v>
      </c>
      <c r="BF19" s="51">
        <v>10</v>
      </c>
      <c r="BG19" s="33">
        <v>0</v>
      </c>
      <c r="BH19" s="33">
        <f t="shared" si="9"/>
        <v>10</v>
      </c>
      <c r="BI19" s="48"/>
      <c r="BJ19" s="49">
        <v>16</v>
      </c>
      <c r="BK19" s="128" t="s">
        <v>105</v>
      </c>
      <c r="BL19" s="51">
        <v>10</v>
      </c>
      <c r="BM19" s="33">
        <v>0</v>
      </c>
      <c r="BN19" s="33">
        <f t="shared" si="10"/>
        <v>10</v>
      </c>
      <c r="BO19" s="48"/>
      <c r="BP19" s="49">
        <v>16</v>
      </c>
      <c r="BQ19" s="128" t="s">
        <v>8</v>
      </c>
      <c r="BR19" s="51">
        <v>10</v>
      </c>
      <c r="BS19" s="33">
        <v>0</v>
      </c>
      <c r="BT19" s="33">
        <f t="shared" si="11"/>
        <v>10</v>
      </c>
      <c r="BU19" s="48"/>
      <c r="BV19" s="49">
        <v>16</v>
      </c>
      <c r="BW19" s="132" t="s">
        <v>71</v>
      </c>
      <c r="BX19" s="51">
        <v>10</v>
      </c>
      <c r="BY19" s="33">
        <v>0</v>
      </c>
      <c r="BZ19" s="33">
        <f t="shared" si="12"/>
        <v>10</v>
      </c>
      <c r="CA19" s="48"/>
      <c r="CB19" s="49">
        <v>16</v>
      </c>
      <c r="CC19" s="132" t="s">
        <v>135</v>
      </c>
      <c r="CD19" s="51">
        <v>10</v>
      </c>
      <c r="CE19" s="33">
        <v>0</v>
      </c>
      <c r="CF19" s="33">
        <f t="shared" si="13"/>
        <v>10</v>
      </c>
      <c r="CG19" s="48"/>
      <c r="CH19" s="49">
        <v>16</v>
      </c>
      <c r="CI19" s="132" t="s">
        <v>132</v>
      </c>
      <c r="CJ19" s="51">
        <v>10</v>
      </c>
      <c r="CK19" s="33">
        <v>0</v>
      </c>
      <c r="CL19" s="33">
        <f t="shared" si="14"/>
        <v>10</v>
      </c>
      <c r="CM19" s="48"/>
      <c r="CN19" s="49">
        <v>16</v>
      </c>
      <c r="CO19" s="135" t="s">
        <v>196</v>
      </c>
      <c r="CP19" s="51">
        <v>10</v>
      </c>
      <c r="CQ19" s="33">
        <v>0</v>
      </c>
      <c r="CR19" s="33">
        <f t="shared" si="15"/>
        <v>10</v>
      </c>
      <c r="CS19" s="48"/>
      <c r="CT19" s="49">
        <v>16</v>
      </c>
      <c r="CU19" s="135" t="s">
        <v>221</v>
      </c>
      <c r="CV19" s="51">
        <v>10</v>
      </c>
      <c r="CW19" s="33">
        <v>0</v>
      </c>
      <c r="CX19" s="33">
        <f t="shared" si="16"/>
        <v>10</v>
      </c>
      <c r="CY19" s="48"/>
      <c r="CZ19" s="49">
        <v>16</v>
      </c>
      <c r="DA19" s="135" t="s">
        <v>154</v>
      </c>
      <c r="DB19" s="51">
        <v>10</v>
      </c>
      <c r="DC19" s="33">
        <v>0</v>
      </c>
      <c r="DD19" s="33">
        <f t="shared" si="17"/>
        <v>10</v>
      </c>
      <c r="DE19" s="48"/>
      <c r="DF19" s="49">
        <v>16</v>
      </c>
      <c r="DG19" s="135" t="s">
        <v>236</v>
      </c>
      <c r="DH19" s="51">
        <v>10</v>
      </c>
      <c r="DI19" s="33">
        <v>0</v>
      </c>
      <c r="DJ19" s="33">
        <f t="shared" si="18"/>
        <v>10</v>
      </c>
      <c r="DK19" s="48"/>
      <c r="DL19" s="49">
        <v>16</v>
      </c>
      <c r="DM19" s="135" t="s">
        <v>225</v>
      </c>
      <c r="DN19" s="51">
        <v>10</v>
      </c>
      <c r="DO19" s="33">
        <v>0</v>
      </c>
      <c r="DP19" s="33">
        <f t="shared" si="19"/>
        <v>10</v>
      </c>
      <c r="DQ19" s="48"/>
      <c r="DR19" s="49">
        <v>16</v>
      </c>
      <c r="DS19" s="135" t="s">
        <v>155</v>
      </c>
      <c r="DT19" s="51">
        <v>10</v>
      </c>
      <c r="DU19" s="33">
        <v>0</v>
      </c>
      <c r="DV19" s="33">
        <f t="shared" si="20"/>
        <v>10</v>
      </c>
    </row>
    <row r="20" spans="1:126" x14ac:dyDescent="0.3">
      <c r="B20" s="49">
        <v>17</v>
      </c>
      <c r="C20" s="125" t="s">
        <v>126</v>
      </c>
      <c r="D20" s="51">
        <v>9</v>
      </c>
      <c r="E20" s="33">
        <v>0</v>
      </c>
      <c r="F20" s="33">
        <f t="shared" si="0"/>
        <v>9</v>
      </c>
      <c r="G20" s="48"/>
      <c r="H20" s="49">
        <v>17</v>
      </c>
      <c r="I20" s="125" t="s">
        <v>131</v>
      </c>
      <c r="J20" s="51">
        <v>9</v>
      </c>
      <c r="K20" s="33">
        <v>0</v>
      </c>
      <c r="L20" s="33">
        <f t="shared" si="1"/>
        <v>9</v>
      </c>
      <c r="M20" s="48"/>
      <c r="N20" s="49">
        <v>17</v>
      </c>
      <c r="O20" s="125" t="s">
        <v>179</v>
      </c>
      <c r="P20" s="51">
        <v>9</v>
      </c>
      <c r="Q20" s="33">
        <v>0</v>
      </c>
      <c r="R20" s="33">
        <f t="shared" si="2"/>
        <v>9</v>
      </c>
      <c r="S20" s="48"/>
      <c r="T20" s="49">
        <v>17</v>
      </c>
      <c r="U20" s="125" t="s">
        <v>126</v>
      </c>
      <c r="V20" s="51">
        <v>9</v>
      </c>
      <c r="W20" s="33">
        <v>0</v>
      </c>
      <c r="X20" s="33">
        <f t="shared" si="3"/>
        <v>9</v>
      </c>
      <c r="Y20" s="48"/>
      <c r="Z20" s="49">
        <v>17</v>
      </c>
      <c r="AA20" s="128" t="s">
        <v>188</v>
      </c>
      <c r="AB20" s="51">
        <v>9</v>
      </c>
      <c r="AC20" s="33">
        <v>0</v>
      </c>
      <c r="AD20" s="33">
        <f t="shared" si="4"/>
        <v>9</v>
      </c>
      <c r="AE20" s="48"/>
      <c r="AF20" s="49">
        <v>17</v>
      </c>
      <c r="AG20" s="128" t="s">
        <v>196</v>
      </c>
      <c r="AH20" s="51">
        <v>9</v>
      </c>
      <c r="AI20" s="33">
        <v>0</v>
      </c>
      <c r="AJ20" s="33">
        <f t="shared" si="5"/>
        <v>9</v>
      </c>
      <c r="AK20" s="48"/>
      <c r="AL20" s="49">
        <v>17</v>
      </c>
      <c r="AM20" s="128" t="s">
        <v>104</v>
      </c>
      <c r="AN20" s="51">
        <v>9</v>
      </c>
      <c r="AO20" s="33">
        <v>0</v>
      </c>
      <c r="AP20" s="33">
        <f t="shared" si="6"/>
        <v>9</v>
      </c>
      <c r="AQ20" s="48"/>
      <c r="AR20" s="49">
        <v>17</v>
      </c>
      <c r="AS20" s="128" t="s">
        <v>204</v>
      </c>
      <c r="AT20" s="51">
        <v>9</v>
      </c>
      <c r="AU20" s="33">
        <v>0</v>
      </c>
      <c r="AV20" s="33">
        <f t="shared" si="7"/>
        <v>9</v>
      </c>
      <c r="AW20" s="48"/>
      <c r="AX20" s="49">
        <v>17</v>
      </c>
      <c r="AY20" s="128" t="s">
        <v>209</v>
      </c>
      <c r="AZ20" s="51">
        <v>9</v>
      </c>
      <c r="BA20" s="33">
        <v>0</v>
      </c>
      <c r="BB20" s="33">
        <f t="shared" si="8"/>
        <v>9</v>
      </c>
      <c r="BC20" s="48"/>
      <c r="BD20" s="49">
        <v>17</v>
      </c>
      <c r="BE20" s="128" t="s">
        <v>109</v>
      </c>
      <c r="BF20" s="51">
        <v>9</v>
      </c>
      <c r="BG20" s="33">
        <v>0</v>
      </c>
      <c r="BH20" s="33">
        <f t="shared" si="9"/>
        <v>9</v>
      </c>
      <c r="BI20" s="48"/>
      <c r="BJ20" s="49">
        <v>17</v>
      </c>
      <c r="BK20" s="128" t="s">
        <v>135</v>
      </c>
      <c r="BL20" s="51">
        <v>9</v>
      </c>
      <c r="BM20" s="33">
        <v>0</v>
      </c>
      <c r="BN20" s="33">
        <f t="shared" si="10"/>
        <v>9</v>
      </c>
      <c r="BO20" s="48"/>
      <c r="BP20" s="49">
        <v>17</v>
      </c>
      <c r="BQ20" s="128" t="s">
        <v>178</v>
      </c>
      <c r="BR20" s="51">
        <v>9</v>
      </c>
      <c r="BS20" s="33">
        <v>0</v>
      </c>
      <c r="BT20" s="33">
        <f t="shared" si="11"/>
        <v>9</v>
      </c>
      <c r="BU20" s="48"/>
      <c r="BV20" s="49">
        <v>17</v>
      </c>
      <c r="BW20" s="132" t="s">
        <v>166</v>
      </c>
      <c r="BX20" s="51">
        <v>9</v>
      </c>
      <c r="BY20" s="33">
        <v>0</v>
      </c>
      <c r="BZ20" s="33">
        <f t="shared" si="12"/>
        <v>9</v>
      </c>
      <c r="CA20" s="48"/>
      <c r="CB20" s="49">
        <v>17</v>
      </c>
      <c r="CC20" s="132" t="s">
        <v>166</v>
      </c>
      <c r="CD20" s="51">
        <v>9</v>
      </c>
      <c r="CE20" s="33">
        <v>0</v>
      </c>
      <c r="CF20" s="33">
        <f t="shared" si="13"/>
        <v>9</v>
      </c>
      <c r="CG20" s="48"/>
      <c r="CH20" s="49">
        <v>17</v>
      </c>
      <c r="CI20" s="132" t="s">
        <v>105</v>
      </c>
      <c r="CJ20" s="51">
        <v>9</v>
      </c>
      <c r="CK20" s="33">
        <v>0</v>
      </c>
      <c r="CL20" s="33">
        <f t="shared" si="14"/>
        <v>9</v>
      </c>
      <c r="CM20" s="48"/>
      <c r="CN20" s="49">
        <v>17</v>
      </c>
      <c r="CO20" s="135" t="s">
        <v>142</v>
      </c>
      <c r="CP20" s="51">
        <v>9</v>
      </c>
      <c r="CQ20" s="33">
        <v>0</v>
      </c>
      <c r="CR20" s="33">
        <f t="shared" si="15"/>
        <v>9</v>
      </c>
      <c r="CS20" s="48"/>
      <c r="CT20" s="49">
        <v>17</v>
      </c>
      <c r="CU20" s="135" t="s">
        <v>204</v>
      </c>
      <c r="CV20" s="51">
        <v>9</v>
      </c>
      <c r="CW20" s="33">
        <v>0</v>
      </c>
      <c r="CX20" s="33">
        <f t="shared" si="16"/>
        <v>9</v>
      </c>
      <c r="CY20" s="48"/>
      <c r="CZ20" s="49">
        <v>17</v>
      </c>
      <c r="DA20" s="135" t="s">
        <v>234</v>
      </c>
      <c r="DB20" s="51">
        <v>9</v>
      </c>
      <c r="DC20" s="33">
        <v>0</v>
      </c>
      <c r="DD20" s="33">
        <f t="shared" si="17"/>
        <v>9</v>
      </c>
      <c r="DE20" s="48"/>
      <c r="DF20" s="49">
        <v>17</v>
      </c>
      <c r="DG20" s="135" t="s">
        <v>134</v>
      </c>
      <c r="DH20" s="51">
        <v>9</v>
      </c>
      <c r="DI20" s="33">
        <v>0</v>
      </c>
      <c r="DJ20" s="33">
        <f t="shared" si="18"/>
        <v>9</v>
      </c>
      <c r="DK20" s="48"/>
      <c r="DL20" s="49">
        <v>17</v>
      </c>
      <c r="DM20" s="135" t="s">
        <v>156</v>
      </c>
      <c r="DN20" s="51">
        <v>9</v>
      </c>
      <c r="DO20" s="33">
        <v>0</v>
      </c>
      <c r="DP20" s="33">
        <f t="shared" si="19"/>
        <v>9</v>
      </c>
      <c r="DQ20" s="48"/>
      <c r="DR20" s="49">
        <v>17</v>
      </c>
      <c r="DS20" s="135" t="s">
        <v>104</v>
      </c>
      <c r="DT20" s="51">
        <v>9</v>
      </c>
      <c r="DU20" s="33">
        <v>0</v>
      </c>
      <c r="DV20" s="33">
        <f t="shared" si="20"/>
        <v>9</v>
      </c>
    </row>
    <row r="21" spans="1:126" x14ac:dyDescent="0.3">
      <c r="B21" s="49">
        <v>18</v>
      </c>
      <c r="C21" s="125" t="s">
        <v>115</v>
      </c>
      <c r="D21" s="51">
        <v>8</v>
      </c>
      <c r="E21" s="33">
        <v>0</v>
      </c>
      <c r="F21" s="33">
        <f t="shared" si="0"/>
        <v>8</v>
      </c>
      <c r="G21" s="48"/>
      <c r="H21" s="49">
        <v>18</v>
      </c>
      <c r="I21" s="125" t="s">
        <v>128</v>
      </c>
      <c r="J21" s="51">
        <v>8</v>
      </c>
      <c r="K21" s="33">
        <v>0</v>
      </c>
      <c r="L21" s="33">
        <f t="shared" si="1"/>
        <v>8</v>
      </c>
      <c r="M21" s="48"/>
      <c r="N21" s="49">
        <v>18</v>
      </c>
      <c r="O21" s="125" t="s">
        <v>180</v>
      </c>
      <c r="P21" s="51">
        <v>8</v>
      </c>
      <c r="Q21" s="33">
        <v>0</v>
      </c>
      <c r="R21" s="33">
        <f t="shared" si="2"/>
        <v>8</v>
      </c>
      <c r="S21" s="48"/>
      <c r="T21" s="49">
        <v>18</v>
      </c>
      <c r="U21" s="125" t="s">
        <v>159</v>
      </c>
      <c r="V21" s="51">
        <v>8</v>
      </c>
      <c r="W21" s="33">
        <v>0</v>
      </c>
      <c r="X21" s="33">
        <f t="shared" si="3"/>
        <v>8</v>
      </c>
      <c r="Y21" s="48"/>
      <c r="Z21" s="49">
        <v>18</v>
      </c>
      <c r="AA21" s="128" t="s">
        <v>174</v>
      </c>
      <c r="AB21" s="51">
        <v>8</v>
      </c>
      <c r="AC21" s="33">
        <v>0</v>
      </c>
      <c r="AD21" s="33">
        <f t="shared" si="4"/>
        <v>8</v>
      </c>
      <c r="AE21" s="48"/>
      <c r="AF21" s="49">
        <v>18</v>
      </c>
      <c r="AG21" s="128" t="s">
        <v>178</v>
      </c>
      <c r="AH21" s="51">
        <v>8</v>
      </c>
      <c r="AI21" s="33">
        <v>0</v>
      </c>
      <c r="AJ21" s="33">
        <f t="shared" si="5"/>
        <v>8</v>
      </c>
      <c r="AK21" s="48"/>
      <c r="AL21" s="49">
        <v>18</v>
      </c>
      <c r="AM21" s="128" t="s">
        <v>123</v>
      </c>
      <c r="AN21" s="51">
        <v>8</v>
      </c>
      <c r="AO21" s="33">
        <v>0</v>
      </c>
      <c r="AP21" s="33">
        <f t="shared" si="6"/>
        <v>8</v>
      </c>
      <c r="AQ21" s="48"/>
      <c r="AR21" s="49">
        <v>18</v>
      </c>
      <c r="AS21" s="128" t="s">
        <v>173</v>
      </c>
      <c r="AT21" s="51">
        <v>8</v>
      </c>
      <c r="AU21" s="33">
        <v>0</v>
      </c>
      <c r="AV21" s="33">
        <f t="shared" si="7"/>
        <v>8</v>
      </c>
      <c r="AW21" s="48"/>
      <c r="AX21" s="49">
        <v>18</v>
      </c>
      <c r="AY21" s="128" t="s">
        <v>174</v>
      </c>
      <c r="AZ21" s="51">
        <v>8</v>
      </c>
      <c r="BA21" s="33">
        <v>0</v>
      </c>
      <c r="BB21" s="33">
        <f t="shared" si="8"/>
        <v>8</v>
      </c>
      <c r="BC21" s="48"/>
      <c r="BD21" s="49">
        <v>18</v>
      </c>
      <c r="BE21" s="128" t="s">
        <v>142</v>
      </c>
      <c r="BF21" s="51">
        <v>8</v>
      </c>
      <c r="BG21" s="33">
        <v>0</v>
      </c>
      <c r="BH21" s="33">
        <f t="shared" si="9"/>
        <v>8</v>
      </c>
      <c r="BI21" s="48"/>
      <c r="BJ21" s="49">
        <v>18</v>
      </c>
      <c r="BK21" s="128" t="s">
        <v>143</v>
      </c>
      <c r="BL21" s="51">
        <v>8</v>
      </c>
      <c r="BM21" s="33">
        <v>0</v>
      </c>
      <c r="BN21" s="33">
        <f t="shared" si="10"/>
        <v>8</v>
      </c>
      <c r="BO21" s="48"/>
      <c r="BP21" s="49">
        <v>18</v>
      </c>
      <c r="BQ21" s="128" t="s">
        <v>213</v>
      </c>
      <c r="BR21" s="51">
        <v>8</v>
      </c>
      <c r="BS21" s="33">
        <v>0</v>
      </c>
      <c r="BT21" s="33">
        <f t="shared" si="11"/>
        <v>8</v>
      </c>
      <c r="BU21" s="48"/>
      <c r="BV21" s="49">
        <v>18</v>
      </c>
      <c r="BW21" s="132" t="s">
        <v>220</v>
      </c>
      <c r="BX21" s="51">
        <v>8</v>
      </c>
      <c r="BY21" s="33">
        <v>0</v>
      </c>
      <c r="BZ21" s="33">
        <f t="shared" si="12"/>
        <v>8</v>
      </c>
      <c r="CA21" s="48"/>
      <c r="CB21" s="49">
        <v>18</v>
      </c>
      <c r="CC21" s="132" t="s">
        <v>185</v>
      </c>
      <c r="CD21" s="51">
        <v>8</v>
      </c>
      <c r="CE21" s="33">
        <v>0</v>
      </c>
      <c r="CF21" s="33">
        <f t="shared" si="13"/>
        <v>8</v>
      </c>
      <c r="CG21" s="48"/>
      <c r="CH21" s="49">
        <v>18</v>
      </c>
      <c r="CI21" s="132" t="s">
        <v>119</v>
      </c>
      <c r="CJ21" s="51">
        <v>8</v>
      </c>
      <c r="CK21" s="33">
        <v>0</v>
      </c>
      <c r="CL21" s="33">
        <f t="shared" si="14"/>
        <v>8</v>
      </c>
      <c r="CM21" s="48"/>
      <c r="CN21" s="49">
        <v>18</v>
      </c>
      <c r="CO21" s="135" t="s">
        <v>186</v>
      </c>
      <c r="CP21" s="51">
        <v>8</v>
      </c>
      <c r="CQ21" s="33">
        <v>0</v>
      </c>
      <c r="CR21" s="33">
        <f t="shared" si="15"/>
        <v>8</v>
      </c>
      <c r="CS21" s="48"/>
      <c r="CT21" s="49">
        <v>18</v>
      </c>
      <c r="CU21" s="135" t="s">
        <v>217</v>
      </c>
      <c r="CV21" s="51">
        <v>8</v>
      </c>
      <c r="CW21" s="33">
        <v>0</v>
      </c>
      <c r="CX21" s="33">
        <f t="shared" si="16"/>
        <v>8</v>
      </c>
      <c r="CY21" s="48"/>
      <c r="CZ21" s="49">
        <v>18</v>
      </c>
      <c r="DA21" s="135" t="s">
        <v>116</v>
      </c>
      <c r="DB21" s="51">
        <v>8</v>
      </c>
      <c r="DC21" s="33">
        <v>0</v>
      </c>
      <c r="DD21" s="33">
        <f t="shared" si="17"/>
        <v>8</v>
      </c>
      <c r="DE21" s="48"/>
      <c r="DF21" s="49">
        <v>18</v>
      </c>
      <c r="DG21" s="135" t="s">
        <v>225</v>
      </c>
      <c r="DH21" s="51">
        <v>8</v>
      </c>
      <c r="DI21" s="33">
        <v>0</v>
      </c>
      <c r="DJ21" s="33">
        <f t="shared" si="18"/>
        <v>8</v>
      </c>
      <c r="DK21" s="48"/>
      <c r="DL21" s="49">
        <v>18</v>
      </c>
      <c r="DM21" s="135" t="s">
        <v>200</v>
      </c>
      <c r="DN21" s="51">
        <v>8</v>
      </c>
      <c r="DO21" s="33">
        <v>0</v>
      </c>
      <c r="DP21" s="33">
        <f t="shared" si="19"/>
        <v>8</v>
      </c>
      <c r="DQ21" s="48"/>
      <c r="DR21" s="49">
        <v>18</v>
      </c>
      <c r="DS21" s="135" t="s">
        <v>159</v>
      </c>
      <c r="DT21" s="51">
        <v>8</v>
      </c>
      <c r="DU21" s="33">
        <v>0</v>
      </c>
      <c r="DV21" s="33">
        <f t="shared" si="20"/>
        <v>8</v>
      </c>
    </row>
    <row r="22" spans="1:126" x14ac:dyDescent="0.3">
      <c r="B22" s="49">
        <v>19</v>
      </c>
      <c r="C22" s="125" t="s">
        <v>148</v>
      </c>
      <c r="D22" s="51">
        <v>7</v>
      </c>
      <c r="E22" s="33">
        <v>0</v>
      </c>
      <c r="F22" s="33">
        <f t="shared" si="0"/>
        <v>7</v>
      </c>
      <c r="G22" s="48"/>
      <c r="H22" s="49">
        <v>19</v>
      </c>
      <c r="I22" s="125" t="s">
        <v>104</v>
      </c>
      <c r="J22" s="51">
        <v>7</v>
      </c>
      <c r="K22" s="33">
        <v>0</v>
      </c>
      <c r="L22" s="33">
        <f t="shared" si="1"/>
        <v>7</v>
      </c>
      <c r="M22" s="48"/>
      <c r="N22" s="49">
        <v>19</v>
      </c>
      <c r="O22" s="125" t="s">
        <v>127</v>
      </c>
      <c r="P22" s="51">
        <v>7</v>
      </c>
      <c r="Q22" s="33">
        <v>0</v>
      </c>
      <c r="R22" s="33">
        <f t="shared" si="2"/>
        <v>7</v>
      </c>
      <c r="S22" s="48"/>
      <c r="T22" s="49">
        <v>19</v>
      </c>
      <c r="U22" s="125" t="s">
        <v>185</v>
      </c>
      <c r="V22" s="51">
        <v>7</v>
      </c>
      <c r="W22" s="33">
        <v>0</v>
      </c>
      <c r="X22" s="33">
        <f t="shared" si="3"/>
        <v>7</v>
      </c>
      <c r="Y22" s="48"/>
      <c r="Z22" s="49">
        <v>19</v>
      </c>
      <c r="AA22" s="128" t="s">
        <v>189</v>
      </c>
      <c r="AB22" s="51">
        <v>7</v>
      </c>
      <c r="AC22" s="33">
        <v>0</v>
      </c>
      <c r="AD22" s="33">
        <f t="shared" si="4"/>
        <v>7</v>
      </c>
      <c r="AE22" s="48"/>
      <c r="AF22" s="49">
        <v>19</v>
      </c>
      <c r="AG22" s="128" t="s">
        <v>142</v>
      </c>
      <c r="AH22" s="51">
        <v>7</v>
      </c>
      <c r="AI22" s="33">
        <v>0</v>
      </c>
      <c r="AJ22" s="33">
        <f t="shared" si="5"/>
        <v>7</v>
      </c>
      <c r="AK22" s="48"/>
      <c r="AL22" s="49">
        <v>19</v>
      </c>
      <c r="AM22" s="128" t="s">
        <v>119</v>
      </c>
      <c r="AN22" s="51">
        <v>7</v>
      </c>
      <c r="AO22" s="33">
        <v>0</v>
      </c>
      <c r="AP22" s="33">
        <f t="shared" si="6"/>
        <v>7</v>
      </c>
      <c r="AQ22" s="48"/>
      <c r="AR22" s="49">
        <v>19</v>
      </c>
      <c r="AS22" s="128" t="s">
        <v>121</v>
      </c>
      <c r="AT22" s="51">
        <v>7</v>
      </c>
      <c r="AU22" s="33">
        <v>0</v>
      </c>
      <c r="AV22" s="33">
        <f t="shared" si="7"/>
        <v>7</v>
      </c>
      <c r="AW22" s="48"/>
      <c r="AX22" s="49">
        <v>19</v>
      </c>
      <c r="AY22" s="128" t="s">
        <v>210</v>
      </c>
      <c r="AZ22" s="51">
        <v>7</v>
      </c>
      <c r="BA22" s="33">
        <v>0</v>
      </c>
      <c r="BB22" s="33">
        <f t="shared" si="8"/>
        <v>7</v>
      </c>
      <c r="BC22" s="48"/>
      <c r="BD22" s="49">
        <v>19</v>
      </c>
      <c r="BE22" s="128" t="s">
        <v>196</v>
      </c>
      <c r="BF22" s="51">
        <v>7</v>
      </c>
      <c r="BG22" s="33">
        <v>0</v>
      </c>
      <c r="BH22" s="33">
        <f t="shared" si="9"/>
        <v>7</v>
      </c>
      <c r="BI22" s="48"/>
      <c r="BJ22" s="49">
        <v>19</v>
      </c>
      <c r="BK22" s="128" t="s">
        <v>164</v>
      </c>
      <c r="BL22" s="51">
        <v>7</v>
      </c>
      <c r="BM22" s="33">
        <v>0</v>
      </c>
      <c r="BN22" s="33">
        <f t="shared" si="10"/>
        <v>7</v>
      </c>
      <c r="BO22" s="48"/>
      <c r="BP22" s="49">
        <v>19</v>
      </c>
      <c r="BQ22" s="128" t="s">
        <v>174</v>
      </c>
      <c r="BR22" s="51">
        <v>7</v>
      </c>
      <c r="BS22" s="33">
        <v>0</v>
      </c>
      <c r="BT22" s="33">
        <f t="shared" si="11"/>
        <v>7</v>
      </c>
      <c r="BU22" s="48"/>
      <c r="BV22" s="49">
        <v>19</v>
      </c>
      <c r="BW22" s="132" t="s">
        <v>197</v>
      </c>
      <c r="BX22" s="51">
        <v>7</v>
      </c>
      <c r="BY22" s="33">
        <v>0</v>
      </c>
      <c r="BZ22" s="33">
        <f t="shared" si="12"/>
        <v>7</v>
      </c>
      <c r="CA22" s="48"/>
      <c r="CB22" s="49">
        <v>19</v>
      </c>
      <c r="CC22" s="132" t="s">
        <v>224</v>
      </c>
      <c r="CD22" s="51">
        <v>7</v>
      </c>
      <c r="CE22" s="33">
        <v>0</v>
      </c>
      <c r="CF22" s="33">
        <f t="shared" si="13"/>
        <v>7</v>
      </c>
      <c r="CG22" s="48"/>
      <c r="CH22" s="49">
        <v>19</v>
      </c>
      <c r="CI22" s="132" t="s">
        <v>135</v>
      </c>
      <c r="CJ22" s="51">
        <v>7</v>
      </c>
      <c r="CK22" s="33">
        <v>0</v>
      </c>
      <c r="CL22" s="33">
        <f t="shared" si="14"/>
        <v>7</v>
      </c>
      <c r="CM22" s="48"/>
      <c r="CN22" s="49">
        <v>19</v>
      </c>
      <c r="CO22" s="135" t="s">
        <v>111</v>
      </c>
      <c r="CP22" s="51">
        <v>7</v>
      </c>
      <c r="CQ22" s="33">
        <v>0</v>
      </c>
      <c r="CR22" s="33">
        <f t="shared" si="15"/>
        <v>7</v>
      </c>
      <c r="CS22" s="48"/>
      <c r="CT22" s="49">
        <v>19</v>
      </c>
      <c r="CU22" s="135" t="s">
        <v>227</v>
      </c>
      <c r="CV22" s="51">
        <v>7</v>
      </c>
      <c r="CW22" s="33">
        <v>0</v>
      </c>
      <c r="CX22" s="33">
        <f t="shared" si="16"/>
        <v>7</v>
      </c>
      <c r="CY22" s="48"/>
      <c r="CZ22" s="49">
        <v>19</v>
      </c>
      <c r="DA22" s="135" t="s">
        <v>175</v>
      </c>
      <c r="DB22" s="51">
        <v>7</v>
      </c>
      <c r="DC22" s="33">
        <v>0</v>
      </c>
      <c r="DD22" s="33">
        <f t="shared" si="17"/>
        <v>7</v>
      </c>
      <c r="DE22" s="48"/>
      <c r="DF22" s="49">
        <v>19</v>
      </c>
      <c r="DG22" s="135" t="s">
        <v>166</v>
      </c>
      <c r="DH22" s="51">
        <v>7</v>
      </c>
      <c r="DI22" s="33">
        <v>0</v>
      </c>
      <c r="DJ22" s="33">
        <f t="shared" si="18"/>
        <v>7</v>
      </c>
      <c r="DK22" s="48"/>
      <c r="DL22" s="49">
        <v>19</v>
      </c>
      <c r="DM22" s="135" t="s">
        <v>237</v>
      </c>
      <c r="DN22" s="51">
        <v>7</v>
      </c>
      <c r="DO22" s="33">
        <v>0</v>
      </c>
      <c r="DP22" s="33">
        <f t="shared" si="19"/>
        <v>7</v>
      </c>
      <c r="DQ22" s="48"/>
      <c r="DR22" s="49">
        <v>19</v>
      </c>
      <c r="DS22" s="135" t="s">
        <v>238</v>
      </c>
      <c r="DT22" s="51">
        <v>7</v>
      </c>
      <c r="DU22" s="33">
        <v>0</v>
      </c>
      <c r="DV22" s="33">
        <f t="shared" si="20"/>
        <v>7</v>
      </c>
    </row>
    <row r="23" spans="1:126" x14ac:dyDescent="0.3">
      <c r="B23" s="49">
        <v>20</v>
      </c>
      <c r="C23" s="125" t="s">
        <v>10</v>
      </c>
      <c r="D23" s="51">
        <v>6</v>
      </c>
      <c r="E23" s="33">
        <v>0</v>
      </c>
      <c r="F23" s="33">
        <f t="shared" si="0"/>
        <v>6</v>
      </c>
      <c r="G23" s="48"/>
      <c r="H23" s="49">
        <v>20</v>
      </c>
      <c r="I23" s="125" t="s">
        <v>147</v>
      </c>
      <c r="J23" s="51">
        <v>6</v>
      </c>
      <c r="K23" s="33">
        <v>0</v>
      </c>
      <c r="L23" s="33">
        <f t="shared" si="1"/>
        <v>6</v>
      </c>
      <c r="M23" s="48"/>
      <c r="N23" s="49">
        <v>20</v>
      </c>
      <c r="O23" s="125" t="s">
        <v>181</v>
      </c>
      <c r="P23" s="51">
        <v>6</v>
      </c>
      <c r="Q23" s="33">
        <v>0</v>
      </c>
      <c r="R23" s="33">
        <f t="shared" si="2"/>
        <v>6</v>
      </c>
      <c r="S23" s="48"/>
      <c r="T23" s="49">
        <v>20</v>
      </c>
      <c r="U23" s="125" t="s">
        <v>166</v>
      </c>
      <c r="V23" s="51">
        <v>6</v>
      </c>
      <c r="W23" s="33">
        <v>0</v>
      </c>
      <c r="X23" s="33">
        <f t="shared" si="3"/>
        <v>6</v>
      </c>
      <c r="Y23" s="48"/>
      <c r="Z23" s="49">
        <v>20</v>
      </c>
      <c r="AA23" s="128" t="s">
        <v>182</v>
      </c>
      <c r="AB23" s="51">
        <v>6</v>
      </c>
      <c r="AC23" s="33">
        <v>0</v>
      </c>
      <c r="AD23" s="33">
        <f t="shared" si="4"/>
        <v>6</v>
      </c>
      <c r="AE23" s="48"/>
      <c r="AF23" s="49">
        <v>20</v>
      </c>
      <c r="AG23" s="128" t="s">
        <v>197</v>
      </c>
      <c r="AH23" s="51">
        <v>6</v>
      </c>
      <c r="AI23" s="33">
        <v>0</v>
      </c>
      <c r="AJ23" s="33">
        <f t="shared" si="5"/>
        <v>6</v>
      </c>
      <c r="AK23" s="48"/>
      <c r="AL23" s="49">
        <v>20</v>
      </c>
      <c r="AM23" s="128" t="s">
        <v>124</v>
      </c>
      <c r="AN23" s="51">
        <v>6</v>
      </c>
      <c r="AO23" s="33">
        <v>0</v>
      </c>
      <c r="AP23" s="33">
        <f t="shared" si="6"/>
        <v>6</v>
      </c>
      <c r="AQ23" s="48"/>
      <c r="AR23" s="49">
        <v>20</v>
      </c>
      <c r="AS23" s="128" t="s">
        <v>194</v>
      </c>
      <c r="AT23" s="51">
        <v>6</v>
      </c>
      <c r="AU23" s="33">
        <v>0</v>
      </c>
      <c r="AV23" s="33">
        <f t="shared" si="7"/>
        <v>6</v>
      </c>
      <c r="AW23" s="48"/>
      <c r="AX23" s="49">
        <v>20</v>
      </c>
      <c r="AY23" s="128" t="s">
        <v>211</v>
      </c>
      <c r="AZ23" s="51">
        <v>6</v>
      </c>
      <c r="BA23" s="33">
        <v>0</v>
      </c>
      <c r="BB23" s="33">
        <f t="shared" si="8"/>
        <v>6</v>
      </c>
      <c r="BC23" s="48"/>
      <c r="BD23" s="49">
        <v>20</v>
      </c>
      <c r="BE23" s="128" t="s">
        <v>178</v>
      </c>
      <c r="BF23" s="51">
        <v>6</v>
      </c>
      <c r="BG23" s="33">
        <v>0</v>
      </c>
      <c r="BH23" s="33">
        <f t="shared" si="9"/>
        <v>6</v>
      </c>
      <c r="BI23" s="48"/>
      <c r="BJ23" s="49">
        <v>20</v>
      </c>
      <c r="BK23" s="128" t="s">
        <v>156</v>
      </c>
      <c r="BL23" s="51">
        <v>6</v>
      </c>
      <c r="BM23" s="33">
        <v>0</v>
      </c>
      <c r="BN23" s="33">
        <f t="shared" si="10"/>
        <v>6</v>
      </c>
      <c r="BO23" s="48"/>
      <c r="BP23" s="49">
        <v>20</v>
      </c>
      <c r="BQ23" s="128" t="s">
        <v>105</v>
      </c>
      <c r="BR23" s="51">
        <v>6</v>
      </c>
      <c r="BS23" s="33">
        <v>0</v>
      </c>
      <c r="BT23" s="33">
        <f t="shared" si="11"/>
        <v>6</v>
      </c>
      <c r="BU23" s="48"/>
      <c r="BV23" s="49">
        <v>20</v>
      </c>
      <c r="BW23" s="132" t="s">
        <v>221</v>
      </c>
      <c r="BX23" s="51">
        <v>6</v>
      </c>
      <c r="BY23" s="33">
        <v>0</v>
      </c>
      <c r="BZ23" s="33">
        <f t="shared" si="12"/>
        <v>6</v>
      </c>
      <c r="CA23" s="48"/>
      <c r="CB23" s="49">
        <v>20</v>
      </c>
      <c r="CC23" s="132" t="s">
        <v>143</v>
      </c>
      <c r="CD23" s="51">
        <v>6</v>
      </c>
      <c r="CE23" s="33">
        <v>0</v>
      </c>
      <c r="CF23" s="33">
        <f t="shared" si="13"/>
        <v>6</v>
      </c>
      <c r="CG23" s="48"/>
      <c r="CH23" s="49">
        <v>20</v>
      </c>
      <c r="CI23" s="132" t="s">
        <v>166</v>
      </c>
      <c r="CJ23" s="51">
        <v>6</v>
      </c>
      <c r="CK23" s="33">
        <v>0</v>
      </c>
      <c r="CL23" s="33">
        <f t="shared" si="14"/>
        <v>6</v>
      </c>
      <c r="CM23" s="48"/>
      <c r="CN23" s="49">
        <v>20</v>
      </c>
      <c r="CO23" s="135" t="s">
        <v>212</v>
      </c>
      <c r="CP23" s="51">
        <v>6</v>
      </c>
      <c r="CQ23" s="33">
        <v>0</v>
      </c>
      <c r="CR23" s="33">
        <f t="shared" si="15"/>
        <v>6</v>
      </c>
      <c r="CS23" s="48"/>
      <c r="CT23" s="49">
        <v>20</v>
      </c>
      <c r="CU23" s="135" t="s">
        <v>169</v>
      </c>
      <c r="CV23" s="51">
        <v>6</v>
      </c>
      <c r="CW23" s="33">
        <v>0</v>
      </c>
      <c r="CX23" s="33">
        <f t="shared" si="16"/>
        <v>6</v>
      </c>
      <c r="CY23" s="48"/>
      <c r="CZ23" s="49">
        <v>20</v>
      </c>
      <c r="DA23" s="135" t="s">
        <v>176</v>
      </c>
      <c r="DB23" s="51">
        <v>6</v>
      </c>
      <c r="DC23" s="33">
        <v>0</v>
      </c>
      <c r="DD23" s="33">
        <f t="shared" si="17"/>
        <v>6</v>
      </c>
      <c r="DE23" s="48"/>
      <c r="DF23" s="49">
        <v>20</v>
      </c>
      <c r="DG23" s="135" t="s">
        <v>65</v>
      </c>
      <c r="DH23" s="51">
        <v>6</v>
      </c>
      <c r="DI23" s="33">
        <v>0</v>
      </c>
      <c r="DJ23" s="33">
        <f t="shared" si="18"/>
        <v>6</v>
      </c>
      <c r="DK23" s="48"/>
      <c r="DL23" s="49">
        <v>20</v>
      </c>
      <c r="DM23" s="135" t="s">
        <v>149</v>
      </c>
      <c r="DN23" s="51">
        <v>6</v>
      </c>
      <c r="DO23" s="33">
        <v>0</v>
      </c>
      <c r="DP23" s="33">
        <f t="shared" si="19"/>
        <v>6</v>
      </c>
      <c r="DQ23" s="48"/>
      <c r="DR23" s="49">
        <v>20</v>
      </c>
      <c r="DS23" s="135" t="s">
        <v>168</v>
      </c>
      <c r="DT23" s="51">
        <v>6</v>
      </c>
      <c r="DU23" s="33">
        <v>0</v>
      </c>
      <c r="DV23" s="33">
        <f t="shared" si="20"/>
        <v>6</v>
      </c>
    </row>
    <row r="24" spans="1:126" x14ac:dyDescent="0.3">
      <c r="B24" s="49">
        <v>21</v>
      </c>
      <c r="C24" s="125" t="s">
        <v>164</v>
      </c>
      <c r="D24" s="51">
        <v>5</v>
      </c>
      <c r="E24" s="33">
        <v>0</v>
      </c>
      <c r="F24" s="33">
        <f t="shared" si="0"/>
        <v>5</v>
      </c>
      <c r="G24" s="48"/>
      <c r="H24" s="49">
        <v>21</v>
      </c>
      <c r="I24" s="125" t="s">
        <v>107</v>
      </c>
      <c r="J24" s="51">
        <v>5</v>
      </c>
      <c r="K24" s="33">
        <v>0</v>
      </c>
      <c r="L24" s="33">
        <f t="shared" si="1"/>
        <v>5</v>
      </c>
      <c r="M24" s="48"/>
      <c r="N24" s="49">
        <v>21</v>
      </c>
      <c r="O24" s="125" t="s">
        <v>182</v>
      </c>
      <c r="P24" s="51">
        <v>5</v>
      </c>
      <c r="Q24" s="33">
        <v>0</v>
      </c>
      <c r="R24" s="33">
        <f t="shared" si="2"/>
        <v>5</v>
      </c>
      <c r="S24" s="48"/>
      <c r="T24" s="49">
        <v>21</v>
      </c>
      <c r="U24" s="125" t="s">
        <v>151</v>
      </c>
      <c r="V24" s="51">
        <v>5</v>
      </c>
      <c r="W24" s="33">
        <v>0</v>
      </c>
      <c r="X24" s="33">
        <f t="shared" si="3"/>
        <v>5</v>
      </c>
      <c r="Y24" s="48"/>
      <c r="Z24" s="49">
        <v>21</v>
      </c>
      <c r="AA24" s="128" t="s">
        <v>190</v>
      </c>
      <c r="AB24" s="51">
        <v>5</v>
      </c>
      <c r="AC24" s="33">
        <v>0</v>
      </c>
      <c r="AD24" s="33">
        <f t="shared" si="4"/>
        <v>5</v>
      </c>
      <c r="AE24" s="48"/>
      <c r="AF24" s="49">
        <v>21</v>
      </c>
      <c r="AG24" s="128" t="s">
        <v>198</v>
      </c>
      <c r="AH24" s="51">
        <v>5</v>
      </c>
      <c r="AI24" s="33">
        <v>0</v>
      </c>
      <c r="AJ24" s="33">
        <f t="shared" si="5"/>
        <v>5</v>
      </c>
      <c r="AK24" s="48"/>
      <c r="AL24" s="49">
        <v>21</v>
      </c>
      <c r="AM24" s="128" t="s">
        <v>120</v>
      </c>
      <c r="AN24" s="51">
        <v>5</v>
      </c>
      <c r="AO24" s="33">
        <v>0</v>
      </c>
      <c r="AP24" s="33">
        <f t="shared" si="6"/>
        <v>5</v>
      </c>
      <c r="AQ24" s="48"/>
      <c r="AR24" s="49">
        <v>21</v>
      </c>
      <c r="AS24" s="128" t="s">
        <v>148</v>
      </c>
      <c r="AT24" s="51">
        <v>5</v>
      </c>
      <c r="AU24" s="33">
        <v>0</v>
      </c>
      <c r="AV24" s="33">
        <f t="shared" si="7"/>
        <v>5</v>
      </c>
      <c r="AW24" s="48"/>
      <c r="AX24" s="49">
        <v>21</v>
      </c>
      <c r="AY24" s="128" t="s">
        <v>167</v>
      </c>
      <c r="AZ24" s="51">
        <v>5</v>
      </c>
      <c r="BA24" s="33">
        <v>10</v>
      </c>
      <c r="BB24" s="33">
        <f t="shared" si="8"/>
        <v>15</v>
      </c>
      <c r="BC24" s="48"/>
      <c r="BD24" s="49">
        <v>21</v>
      </c>
      <c r="BE24" s="128" t="s">
        <v>174</v>
      </c>
      <c r="BF24" s="51">
        <v>5</v>
      </c>
      <c r="BG24" s="33">
        <v>0</v>
      </c>
      <c r="BH24" s="33">
        <f t="shared" si="9"/>
        <v>5</v>
      </c>
      <c r="BI24" s="48"/>
      <c r="BJ24" s="49">
        <v>21</v>
      </c>
      <c r="BK24" s="128" t="s">
        <v>151</v>
      </c>
      <c r="BL24" s="51">
        <v>5</v>
      </c>
      <c r="BM24" s="33">
        <v>0</v>
      </c>
      <c r="BN24" s="33">
        <f t="shared" si="10"/>
        <v>5</v>
      </c>
      <c r="BO24" s="48"/>
      <c r="BP24" s="49">
        <v>21</v>
      </c>
      <c r="BQ24" s="128" t="s">
        <v>212</v>
      </c>
      <c r="BR24" s="51">
        <v>5</v>
      </c>
      <c r="BS24" s="33">
        <v>0</v>
      </c>
      <c r="BT24" s="33">
        <f t="shared" si="11"/>
        <v>5</v>
      </c>
      <c r="BU24" s="48"/>
      <c r="BV24" s="49">
        <v>21</v>
      </c>
      <c r="BW24" s="132" t="s">
        <v>222</v>
      </c>
      <c r="BX24" s="51">
        <v>5</v>
      </c>
      <c r="BY24" s="33">
        <v>0</v>
      </c>
      <c r="BZ24" s="33">
        <f t="shared" si="12"/>
        <v>5</v>
      </c>
      <c r="CA24" s="48"/>
      <c r="CB24" s="49">
        <v>21</v>
      </c>
      <c r="CC24" s="132" t="s">
        <v>164</v>
      </c>
      <c r="CD24" s="51">
        <v>5</v>
      </c>
      <c r="CE24" s="33">
        <v>0</v>
      </c>
      <c r="CF24" s="33">
        <f t="shared" si="13"/>
        <v>5</v>
      </c>
      <c r="CG24" s="48"/>
      <c r="CH24" s="49">
        <v>21</v>
      </c>
      <c r="CI24" s="132" t="s">
        <v>215</v>
      </c>
      <c r="CJ24" s="51">
        <v>5</v>
      </c>
      <c r="CK24" s="33">
        <v>0</v>
      </c>
      <c r="CL24" s="33">
        <f t="shared" si="14"/>
        <v>5</v>
      </c>
      <c r="CM24" s="48"/>
      <c r="CN24" s="49">
        <v>21</v>
      </c>
      <c r="CO24" s="135" t="s">
        <v>195</v>
      </c>
      <c r="CP24" s="51">
        <v>5</v>
      </c>
      <c r="CQ24" s="33">
        <v>0</v>
      </c>
      <c r="CR24" s="33">
        <f t="shared" si="15"/>
        <v>5</v>
      </c>
      <c r="CS24" s="48"/>
      <c r="CT24" s="49">
        <v>21</v>
      </c>
      <c r="CU24" s="135" t="s">
        <v>214</v>
      </c>
      <c r="CV24" s="51">
        <v>5</v>
      </c>
      <c r="CW24" s="33">
        <v>0</v>
      </c>
      <c r="CX24" s="33">
        <f t="shared" si="16"/>
        <v>5</v>
      </c>
      <c r="CY24" s="48"/>
      <c r="CZ24" s="49">
        <v>21</v>
      </c>
      <c r="DA24" s="135" t="s">
        <v>162</v>
      </c>
      <c r="DB24" s="51">
        <v>5</v>
      </c>
      <c r="DC24" s="33">
        <v>0</v>
      </c>
      <c r="DD24" s="33">
        <f t="shared" si="17"/>
        <v>5</v>
      </c>
      <c r="DE24" s="48"/>
      <c r="DF24" s="49">
        <v>21</v>
      </c>
      <c r="DG24" s="135" t="s">
        <v>151</v>
      </c>
      <c r="DH24" s="51">
        <v>5</v>
      </c>
      <c r="DI24" s="33">
        <v>0</v>
      </c>
      <c r="DJ24" s="33">
        <f t="shared" si="18"/>
        <v>5</v>
      </c>
      <c r="DK24" s="48"/>
      <c r="DL24" s="49">
        <v>21</v>
      </c>
      <c r="DM24" s="135" t="s">
        <v>208</v>
      </c>
      <c r="DN24" s="51">
        <v>5</v>
      </c>
      <c r="DO24" s="33">
        <v>0</v>
      </c>
      <c r="DP24" s="33">
        <f t="shared" si="19"/>
        <v>5</v>
      </c>
      <c r="DQ24" s="48"/>
      <c r="DR24" s="49">
        <v>21</v>
      </c>
      <c r="DS24" s="135" t="s">
        <v>208</v>
      </c>
      <c r="DT24" s="51">
        <v>5</v>
      </c>
      <c r="DU24" s="33">
        <v>0</v>
      </c>
      <c r="DV24" s="33">
        <f t="shared" si="20"/>
        <v>5</v>
      </c>
    </row>
    <row r="25" spans="1:126" x14ac:dyDescent="0.3">
      <c r="B25" s="49">
        <v>22</v>
      </c>
      <c r="C25" s="125" t="s">
        <v>165</v>
      </c>
      <c r="D25" s="51">
        <v>4</v>
      </c>
      <c r="E25" s="33">
        <v>0</v>
      </c>
      <c r="F25" s="33">
        <f t="shared" si="0"/>
        <v>4</v>
      </c>
      <c r="G25" s="48"/>
      <c r="H25" s="49">
        <v>22</v>
      </c>
      <c r="I25" s="125" t="s">
        <v>65</v>
      </c>
      <c r="J25" s="51">
        <v>4</v>
      </c>
      <c r="K25" s="33">
        <v>0</v>
      </c>
      <c r="L25" s="33">
        <f t="shared" si="1"/>
        <v>4</v>
      </c>
      <c r="M25" s="48"/>
      <c r="N25" s="49">
        <v>22</v>
      </c>
      <c r="O25" s="125" t="s">
        <v>120</v>
      </c>
      <c r="P25" s="51">
        <v>4</v>
      </c>
      <c r="Q25" s="33">
        <v>0</v>
      </c>
      <c r="R25" s="33">
        <f t="shared" si="2"/>
        <v>4</v>
      </c>
      <c r="S25" s="48"/>
      <c r="T25" s="49">
        <v>22</v>
      </c>
      <c r="U25" s="125" t="s">
        <v>164</v>
      </c>
      <c r="V25" s="51">
        <v>4</v>
      </c>
      <c r="W25" s="33">
        <v>0</v>
      </c>
      <c r="X25" s="33">
        <f t="shared" si="3"/>
        <v>4</v>
      </c>
      <c r="Y25" s="48"/>
      <c r="Z25" s="49">
        <v>22</v>
      </c>
      <c r="AA25" s="128" t="s">
        <v>191</v>
      </c>
      <c r="AB25" s="51">
        <v>4</v>
      </c>
      <c r="AC25" s="33">
        <v>0</v>
      </c>
      <c r="AD25" s="33">
        <f t="shared" si="4"/>
        <v>4</v>
      </c>
      <c r="AE25" s="48"/>
      <c r="AF25" s="49">
        <v>22</v>
      </c>
      <c r="AG25" s="128" t="s">
        <v>187</v>
      </c>
      <c r="AH25" s="51">
        <v>4</v>
      </c>
      <c r="AI25" s="33">
        <v>0</v>
      </c>
      <c r="AJ25" s="33">
        <f t="shared" si="5"/>
        <v>4</v>
      </c>
      <c r="AK25" s="48"/>
      <c r="AL25" s="49">
        <v>22</v>
      </c>
      <c r="AM25" s="128" t="s">
        <v>200</v>
      </c>
      <c r="AN25" s="51">
        <v>4</v>
      </c>
      <c r="AO25" s="33">
        <v>0</v>
      </c>
      <c r="AP25" s="33">
        <f t="shared" si="6"/>
        <v>4</v>
      </c>
      <c r="AQ25" s="48"/>
      <c r="AR25" s="49">
        <v>22</v>
      </c>
      <c r="AS25" s="128" t="s">
        <v>166</v>
      </c>
      <c r="AT25" s="51">
        <v>4</v>
      </c>
      <c r="AU25" s="33">
        <v>0</v>
      </c>
      <c r="AV25" s="33">
        <f t="shared" si="7"/>
        <v>4</v>
      </c>
      <c r="AW25" s="48"/>
      <c r="AX25" s="49">
        <v>22</v>
      </c>
      <c r="AY25" s="128" t="s">
        <v>169</v>
      </c>
      <c r="AZ25" s="51">
        <v>4</v>
      </c>
      <c r="BA25" s="33">
        <v>0</v>
      </c>
      <c r="BB25" s="33">
        <f t="shared" si="8"/>
        <v>4</v>
      </c>
      <c r="BC25" s="48"/>
      <c r="BD25" s="49">
        <v>22</v>
      </c>
      <c r="BE25" s="128" t="s">
        <v>198</v>
      </c>
      <c r="BF25" s="51">
        <v>4</v>
      </c>
      <c r="BG25" s="33">
        <v>0</v>
      </c>
      <c r="BH25" s="33">
        <f t="shared" si="9"/>
        <v>4</v>
      </c>
      <c r="BI25" s="48"/>
      <c r="BJ25" s="49">
        <v>22</v>
      </c>
      <c r="BK25" s="128" t="s">
        <v>214</v>
      </c>
      <c r="BL25" s="51">
        <v>4</v>
      </c>
      <c r="BM25" s="33">
        <v>0</v>
      </c>
      <c r="BN25" s="33">
        <f t="shared" si="10"/>
        <v>4</v>
      </c>
      <c r="BO25" s="48"/>
      <c r="BP25" s="49">
        <v>22</v>
      </c>
      <c r="BQ25" s="128" t="s">
        <v>104</v>
      </c>
      <c r="BR25" s="51">
        <v>4</v>
      </c>
      <c r="BS25" s="33">
        <v>0</v>
      </c>
      <c r="BT25" s="33">
        <f t="shared" si="11"/>
        <v>4</v>
      </c>
      <c r="BU25" s="48"/>
      <c r="BV25" s="49">
        <v>22</v>
      </c>
      <c r="BW25" s="132" t="s">
        <v>178</v>
      </c>
      <c r="BX25" s="51">
        <v>4</v>
      </c>
      <c r="BY25" s="33">
        <v>0</v>
      </c>
      <c r="BZ25" s="33">
        <f t="shared" si="12"/>
        <v>4</v>
      </c>
      <c r="CA25" s="48"/>
      <c r="CB25" s="49">
        <v>22</v>
      </c>
      <c r="CC25" s="132" t="s">
        <v>205</v>
      </c>
      <c r="CD25" s="51">
        <v>4</v>
      </c>
      <c r="CE25" s="33">
        <v>0</v>
      </c>
      <c r="CF25" s="33">
        <f t="shared" si="13"/>
        <v>4</v>
      </c>
      <c r="CG25" s="48"/>
      <c r="CH25" s="49">
        <v>22</v>
      </c>
      <c r="CI25" s="132" t="s">
        <v>171</v>
      </c>
      <c r="CJ25" s="51">
        <v>4</v>
      </c>
      <c r="CK25" s="33">
        <v>0</v>
      </c>
      <c r="CL25" s="33">
        <f t="shared" si="14"/>
        <v>4</v>
      </c>
      <c r="CM25" s="48"/>
      <c r="CN25" s="49">
        <v>22</v>
      </c>
      <c r="CO25" s="135" t="s">
        <v>178</v>
      </c>
      <c r="CP25" s="51">
        <v>4</v>
      </c>
      <c r="CQ25" s="33">
        <v>0</v>
      </c>
      <c r="CR25" s="33">
        <f t="shared" si="15"/>
        <v>4</v>
      </c>
      <c r="CS25" s="48"/>
      <c r="CT25" s="49">
        <v>22</v>
      </c>
      <c r="CU25" s="135" t="s">
        <v>170</v>
      </c>
      <c r="CV25" s="51">
        <v>4</v>
      </c>
      <c r="CW25" s="33">
        <v>0</v>
      </c>
      <c r="CX25" s="33">
        <f t="shared" si="16"/>
        <v>4</v>
      </c>
      <c r="CY25" s="48"/>
      <c r="CZ25" s="49">
        <v>22</v>
      </c>
      <c r="DA25" s="135" t="s">
        <v>164</v>
      </c>
      <c r="DB25" s="51">
        <v>4</v>
      </c>
      <c r="DC25" s="33">
        <v>0</v>
      </c>
      <c r="DD25" s="33">
        <f t="shared" si="17"/>
        <v>4</v>
      </c>
      <c r="DE25" s="48"/>
      <c r="DF25" s="49">
        <v>22</v>
      </c>
      <c r="DG25" s="135" t="s">
        <v>131</v>
      </c>
      <c r="DH25" s="51">
        <v>4</v>
      </c>
      <c r="DI25" s="33">
        <v>0</v>
      </c>
      <c r="DJ25" s="33">
        <f t="shared" si="18"/>
        <v>4</v>
      </c>
      <c r="DK25" s="48"/>
      <c r="DL25" s="49">
        <v>22</v>
      </c>
      <c r="DM25" s="135" t="s">
        <v>132</v>
      </c>
      <c r="DN25" s="51">
        <v>4</v>
      </c>
      <c r="DO25" s="33">
        <v>0</v>
      </c>
      <c r="DP25" s="33">
        <f t="shared" si="19"/>
        <v>4</v>
      </c>
      <c r="DQ25" s="48"/>
      <c r="DR25" s="49">
        <v>22</v>
      </c>
      <c r="DS25" s="135" t="s">
        <v>137</v>
      </c>
      <c r="DT25" s="51">
        <v>4</v>
      </c>
      <c r="DU25" s="33">
        <v>0</v>
      </c>
      <c r="DV25" s="33">
        <f t="shared" si="20"/>
        <v>4</v>
      </c>
    </row>
    <row r="26" spans="1:126" x14ac:dyDescent="0.3">
      <c r="B26" s="49">
        <v>23</v>
      </c>
      <c r="C26" s="125" t="s">
        <v>105</v>
      </c>
      <c r="D26" s="51">
        <v>3</v>
      </c>
      <c r="E26" s="33">
        <v>0</v>
      </c>
      <c r="F26" s="33">
        <f t="shared" si="0"/>
        <v>3</v>
      </c>
      <c r="G26" s="48"/>
      <c r="H26" s="49">
        <v>23</v>
      </c>
      <c r="I26" s="125" t="s">
        <v>143</v>
      </c>
      <c r="J26" s="51">
        <v>3</v>
      </c>
      <c r="K26" s="33">
        <v>0</v>
      </c>
      <c r="L26" s="33">
        <f t="shared" si="1"/>
        <v>3</v>
      </c>
      <c r="M26" s="48"/>
      <c r="N26" s="49">
        <v>23</v>
      </c>
      <c r="O26" s="125" t="s">
        <v>126</v>
      </c>
      <c r="P26" s="51">
        <v>3</v>
      </c>
      <c r="Q26" s="33">
        <v>0</v>
      </c>
      <c r="R26" s="33">
        <f t="shared" si="2"/>
        <v>3</v>
      </c>
      <c r="S26" s="48"/>
      <c r="T26" s="49">
        <v>23</v>
      </c>
      <c r="U26" s="125" t="s">
        <v>123</v>
      </c>
      <c r="V26" s="51">
        <v>3</v>
      </c>
      <c r="W26" s="33">
        <v>0</v>
      </c>
      <c r="X26" s="33">
        <f t="shared" si="3"/>
        <v>3</v>
      </c>
      <c r="Y26" s="48"/>
      <c r="Z26" s="49">
        <v>23</v>
      </c>
      <c r="AA26" s="128" t="s">
        <v>192</v>
      </c>
      <c r="AB26" s="51">
        <v>3</v>
      </c>
      <c r="AC26" s="33">
        <v>0</v>
      </c>
      <c r="AD26" s="33">
        <f t="shared" si="4"/>
        <v>3</v>
      </c>
      <c r="AE26" s="48"/>
      <c r="AF26" s="49">
        <v>23</v>
      </c>
      <c r="AG26" s="128" t="s">
        <v>138</v>
      </c>
      <c r="AH26" s="51">
        <v>3</v>
      </c>
      <c r="AI26" s="33">
        <v>0</v>
      </c>
      <c r="AJ26" s="33">
        <f t="shared" si="5"/>
        <v>3</v>
      </c>
      <c r="AK26" s="48"/>
      <c r="AL26" s="49">
        <v>23</v>
      </c>
      <c r="AM26" s="128" t="s">
        <v>118</v>
      </c>
      <c r="AN26" s="51">
        <v>3</v>
      </c>
      <c r="AO26" s="33">
        <v>0</v>
      </c>
      <c r="AP26" s="33">
        <f t="shared" si="6"/>
        <v>3</v>
      </c>
      <c r="AQ26" s="48"/>
      <c r="AR26" s="49">
        <v>23</v>
      </c>
      <c r="AS26" s="128" t="s">
        <v>159</v>
      </c>
      <c r="AT26" s="51">
        <v>3</v>
      </c>
      <c r="AU26" s="33">
        <v>0</v>
      </c>
      <c r="AV26" s="33">
        <f t="shared" si="7"/>
        <v>3</v>
      </c>
      <c r="AW26" s="48"/>
      <c r="AX26" s="49">
        <v>23</v>
      </c>
      <c r="AY26" s="128" t="s">
        <v>146</v>
      </c>
      <c r="AZ26" s="51">
        <v>3</v>
      </c>
      <c r="BA26" s="33">
        <v>0</v>
      </c>
      <c r="BB26" s="33">
        <f t="shared" si="8"/>
        <v>3</v>
      </c>
      <c r="BC26" s="48"/>
      <c r="BD26" s="49">
        <v>23</v>
      </c>
      <c r="BE26" s="128" t="s">
        <v>186</v>
      </c>
      <c r="BF26" s="51">
        <v>3</v>
      </c>
      <c r="BG26" s="33">
        <v>0</v>
      </c>
      <c r="BH26" s="33">
        <f t="shared" si="9"/>
        <v>3</v>
      </c>
      <c r="BI26" s="48"/>
      <c r="BJ26" s="49">
        <v>23</v>
      </c>
      <c r="BK26" s="128" t="s">
        <v>147</v>
      </c>
      <c r="BL26" s="51">
        <v>3</v>
      </c>
      <c r="BM26" s="33">
        <v>0</v>
      </c>
      <c r="BN26" s="33">
        <f t="shared" si="10"/>
        <v>3</v>
      </c>
      <c r="BO26" s="48"/>
      <c r="BP26" s="49">
        <v>23</v>
      </c>
      <c r="BQ26" s="128" t="s">
        <v>64</v>
      </c>
      <c r="BR26" s="51">
        <v>3</v>
      </c>
      <c r="BS26" s="33">
        <v>20</v>
      </c>
      <c r="BT26" s="33">
        <f t="shared" si="11"/>
        <v>23</v>
      </c>
      <c r="BU26" s="48"/>
      <c r="BV26" s="49">
        <v>23</v>
      </c>
      <c r="BW26" s="132" t="s">
        <v>104</v>
      </c>
      <c r="BX26" s="51">
        <v>3</v>
      </c>
      <c r="BY26" s="33">
        <v>0</v>
      </c>
      <c r="BZ26" s="33">
        <f t="shared" si="12"/>
        <v>3</v>
      </c>
      <c r="CA26" s="48"/>
      <c r="CB26" s="49">
        <v>23</v>
      </c>
      <c r="CC26" s="132" t="s">
        <v>116</v>
      </c>
      <c r="CD26" s="51">
        <v>3</v>
      </c>
      <c r="CE26" s="33">
        <v>0</v>
      </c>
      <c r="CF26" s="33">
        <f t="shared" si="13"/>
        <v>3</v>
      </c>
      <c r="CG26" s="48"/>
      <c r="CH26" s="49">
        <v>23</v>
      </c>
      <c r="CI26" s="132" t="s">
        <v>164</v>
      </c>
      <c r="CJ26" s="51">
        <v>3</v>
      </c>
      <c r="CK26" s="33">
        <v>0</v>
      </c>
      <c r="CL26" s="33">
        <f t="shared" si="14"/>
        <v>3</v>
      </c>
      <c r="CM26" s="48"/>
      <c r="CN26" s="49">
        <v>23</v>
      </c>
      <c r="CO26" s="135" t="s">
        <v>220</v>
      </c>
      <c r="CP26" s="51">
        <v>3</v>
      </c>
      <c r="CQ26" s="33">
        <v>0</v>
      </c>
      <c r="CR26" s="33">
        <f t="shared" si="15"/>
        <v>3</v>
      </c>
      <c r="CS26" s="48"/>
      <c r="CT26" s="49">
        <v>23</v>
      </c>
      <c r="CU26" s="135" t="s">
        <v>228</v>
      </c>
      <c r="CV26" s="51">
        <v>3</v>
      </c>
      <c r="CW26" s="33">
        <v>0</v>
      </c>
      <c r="CX26" s="33">
        <f t="shared" si="16"/>
        <v>3</v>
      </c>
      <c r="CY26" s="48"/>
      <c r="CZ26" s="49">
        <v>23</v>
      </c>
      <c r="DA26" s="135" t="s">
        <v>223</v>
      </c>
      <c r="DB26" s="51">
        <v>3</v>
      </c>
      <c r="DC26" s="33">
        <v>0</v>
      </c>
      <c r="DD26" s="33">
        <f t="shared" si="17"/>
        <v>3</v>
      </c>
      <c r="DE26" s="48"/>
      <c r="DF26" s="49">
        <v>23</v>
      </c>
      <c r="DG26" s="135" t="s">
        <v>159</v>
      </c>
      <c r="DH26" s="51">
        <v>3</v>
      </c>
      <c r="DI26" s="33">
        <v>0</v>
      </c>
      <c r="DJ26" s="33">
        <f t="shared" si="18"/>
        <v>3</v>
      </c>
      <c r="DK26" s="48"/>
      <c r="DL26" s="49">
        <v>23</v>
      </c>
      <c r="DM26" s="135" t="s">
        <v>119</v>
      </c>
      <c r="DN26" s="51">
        <v>3</v>
      </c>
      <c r="DO26" s="33">
        <v>0</v>
      </c>
      <c r="DP26" s="33">
        <f t="shared" si="19"/>
        <v>3</v>
      </c>
      <c r="DQ26" s="48"/>
      <c r="DR26" s="49">
        <v>23</v>
      </c>
      <c r="DS26" s="135" t="s">
        <v>200</v>
      </c>
      <c r="DT26" s="51">
        <v>3</v>
      </c>
      <c r="DU26" s="33">
        <v>0</v>
      </c>
      <c r="DV26" s="33">
        <f t="shared" si="20"/>
        <v>3</v>
      </c>
    </row>
    <row r="27" spans="1:126" x14ac:dyDescent="0.3">
      <c r="B27" s="49">
        <v>24</v>
      </c>
      <c r="C27" s="125" t="s">
        <v>116</v>
      </c>
      <c r="D27" s="51">
        <v>2</v>
      </c>
      <c r="E27" s="33">
        <v>0</v>
      </c>
      <c r="F27" s="33">
        <f t="shared" si="0"/>
        <v>2</v>
      </c>
      <c r="G27" s="48"/>
      <c r="H27" s="49">
        <v>24</v>
      </c>
      <c r="I27" s="125" t="s">
        <v>105</v>
      </c>
      <c r="J27" s="51">
        <v>2</v>
      </c>
      <c r="K27" s="33">
        <v>0</v>
      </c>
      <c r="L27" s="33">
        <f t="shared" si="1"/>
        <v>2</v>
      </c>
      <c r="M27" s="48"/>
      <c r="N27" s="49">
        <v>24</v>
      </c>
      <c r="O27" s="125" t="s">
        <v>183</v>
      </c>
      <c r="P27" s="51">
        <v>2</v>
      </c>
      <c r="Q27" s="33">
        <v>0</v>
      </c>
      <c r="R27" s="33">
        <f t="shared" si="2"/>
        <v>2</v>
      </c>
      <c r="S27" s="48"/>
      <c r="T27" s="49">
        <v>24</v>
      </c>
      <c r="U27" s="125" t="s">
        <v>132</v>
      </c>
      <c r="V27" s="51">
        <v>2</v>
      </c>
      <c r="W27" s="33">
        <v>0</v>
      </c>
      <c r="X27" s="33">
        <f t="shared" si="3"/>
        <v>2</v>
      </c>
      <c r="Y27" s="48"/>
      <c r="Z27" s="49">
        <v>24</v>
      </c>
      <c r="AA27" s="128" t="s">
        <v>193</v>
      </c>
      <c r="AB27" s="51">
        <v>2</v>
      </c>
      <c r="AC27" s="33">
        <v>0</v>
      </c>
      <c r="AD27" s="33">
        <f t="shared" si="4"/>
        <v>2</v>
      </c>
      <c r="AE27" s="48"/>
      <c r="AF27" s="49">
        <v>24</v>
      </c>
      <c r="AG27" s="128" t="s">
        <v>122</v>
      </c>
      <c r="AH27" s="51">
        <v>2</v>
      </c>
      <c r="AI27" s="33">
        <v>0</v>
      </c>
      <c r="AJ27" s="33">
        <f t="shared" si="5"/>
        <v>2</v>
      </c>
      <c r="AK27" s="48"/>
      <c r="AL27" s="49">
        <v>24</v>
      </c>
      <c r="AM27" s="128" t="s">
        <v>106</v>
      </c>
      <c r="AN27" s="51">
        <v>2</v>
      </c>
      <c r="AO27" s="33">
        <v>0</v>
      </c>
      <c r="AP27" s="33">
        <f t="shared" si="6"/>
        <v>2</v>
      </c>
      <c r="AQ27" s="48"/>
      <c r="AR27" s="49">
        <v>24</v>
      </c>
      <c r="AS27" s="128" t="s">
        <v>115</v>
      </c>
      <c r="AT27" s="51">
        <v>2</v>
      </c>
      <c r="AU27" s="33">
        <v>0</v>
      </c>
      <c r="AV27" s="33">
        <f t="shared" si="7"/>
        <v>2</v>
      </c>
      <c r="AW27" s="48"/>
      <c r="AX27" s="49">
        <v>24</v>
      </c>
      <c r="AY27" s="128" t="s">
        <v>134</v>
      </c>
      <c r="AZ27" s="51">
        <v>2</v>
      </c>
      <c r="BA27" s="33">
        <v>0</v>
      </c>
      <c r="BB27" s="33">
        <f t="shared" si="8"/>
        <v>2</v>
      </c>
      <c r="BC27" s="48"/>
      <c r="BD27" s="49">
        <v>24</v>
      </c>
      <c r="BE27" s="128" t="s">
        <v>203</v>
      </c>
      <c r="BF27" s="51">
        <v>2</v>
      </c>
      <c r="BG27" s="33">
        <v>5</v>
      </c>
      <c r="BH27" s="33">
        <f t="shared" si="9"/>
        <v>7</v>
      </c>
      <c r="BI27" s="48"/>
      <c r="BJ27" s="49">
        <v>24</v>
      </c>
      <c r="BK27" s="128" t="s">
        <v>215</v>
      </c>
      <c r="BL27" s="51">
        <v>2</v>
      </c>
      <c r="BM27" s="33">
        <v>0</v>
      </c>
      <c r="BN27" s="33">
        <f t="shared" si="10"/>
        <v>2</v>
      </c>
      <c r="BO27" s="48"/>
      <c r="BP27" s="49">
        <v>24</v>
      </c>
      <c r="BQ27" s="128" t="s">
        <v>217</v>
      </c>
      <c r="BR27" s="51">
        <v>2</v>
      </c>
      <c r="BS27" s="33">
        <v>0</v>
      </c>
      <c r="BT27" s="33">
        <f t="shared" si="11"/>
        <v>2</v>
      </c>
      <c r="BU27" s="48"/>
      <c r="BV27" s="49">
        <v>24</v>
      </c>
      <c r="BW27" s="132" t="s">
        <v>187</v>
      </c>
      <c r="BX27" s="51">
        <v>2</v>
      </c>
      <c r="BY27" s="33">
        <v>0</v>
      </c>
      <c r="BZ27" s="33">
        <f t="shared" si="12"/>
        <v>2</v>
      </c>
      <c r="CA27" s="48"/>
      <c r="CB27" s="49">
        <v>24</v>
      </c>
      <c r="CC27" s="132" t="s">
        <v>176</v>
      </c>
      <c r="CD27" s="51">
        <v>2</v>
      </c>
      <c r="CE27" s="33">
        <v>0</v>
      </c>
      <c r="CF27" s="33">
        <f t="shared" si="13"/>
        <v>2</v>
      </c>
      <c r="CG27" s="48"/>
      <c r="CH27" s="49">
        <v>24</v>
      </c>
      <c r="CI27" s="132" t="s">
        <v>208</v>
      </c>
      <c r="CJ27" s="51">
        <v>2</v>
      </c>
      <c r="CK27" s="33">
        <v>0</v>
      </c>
      <c r="CL27" s="33">
        <f t="shared" si="14"/>
        <v>2</v>
      </c>
      <c r="CM27" s="48"/>
      <c r="CN27" s="49">
        <v>24</v>
      </c>
      <c r="CO27" s="135" t="s">
        <v>74</v>
      </c>
      <c r="CP27" s="51">
        <v>2</v>
      </c>
      <c r="CQ27" s="33">
        <v>0</v>
      </c>
      <c r="CR27" s="33">
        <f t="shared" si="15"/>
        <v>2</v>
      </c>
      <c r="CS27" s="48"/>
      <c r="CT27" s="49">
        <v>24</v>
      </c>
      <c r="CU27" s="135" t="s">
        <v>229</v>
      </c>
      <c r="CV27" s="51">
        <v>2</v>
      </c>
      <c r="CW27" s="33">
        <v>0</v>
      </c>
      <c r="CX27" s="33">
        <f t="shared" si="16"/>
        <v>2</v>
      </c>
      <c r="CY27" s="48"/>
      <c r="CZ27" s="49">
        <v>24</v>
      </c>
      <c r="DA27" s="135" t="s">
        <v>151</v>
      </c>
      <c r="DB27" s="51">
        <v>2</v>
      </c>
      <c r="DC27" s="33">
        <v>0</v>
      </c>
      <c r="DD27" s="33">
        <f t="shared" si="17"/>
        <v>2</v>
      </c>
      <c r="DE27" s="48"/>
      <c r="DF27" s="49">
        <v>24</v>
      </c>
      <c r="DG27" s="135" t="s">
        <v>215</v>
      </c>
      <c r="DH27" s="51">
        <v>2</v>
      </c>
      <c r="DI27" s="33">
        <v>0</v>
      </c>
      <c r="DJ27" s="33">
        <f t="shared" si="18"/>
        <v>2</v>
      </c>
      <c r="DK27" s="48"/>
      <c r="DL27" s="49">
        <v>24</v>
      </c>
      <c r="DM27" s="135" t="s">
        <v>164</v>
      </c>
      <c r="DN27" s="51">
        <v>2</v>
      </c>
      <c r="DO27" s="33">
        <v>0</v>
      </c>
      <c r="DP27" s="33">
        <f t="shared" si="19"/>
        <v>2</v>
      </c>
      <c r="DQ27" s="48"/>
      <c r="DR27" s="49">
        <v>24</v>
      </c>
      <c r="DS27" s="135" t="s">
        <v>239</v>
      </c>
      <c r="DT27" s="51">
        <v>2</v>
      </c>
      <c r="DU27" s="33">
        <v>0</v>
      </c>
      <c r="DV27" s="33">
        <f t="shared" si="20"/>
        <v>2</v>
      </c>
    </row>
    <row r="28" spans="1:126" ht="15" thickBot="1" x14ac:dyDescent="0.35">
      <c r="B28" s="50">
        <v>25</v>
      </c>
      <c r="C28" s="126" t="s">
        <v>166</v>
      </c>
      <c r="D28" s="52">
        <v>1</v>
      </c>
      <c r="E28" s="34">
        <v>0</v>
      </c>
      <c r="F28" s="34">
        <f t="shared" si="0"/>
        <v>1</v>
      </c>
      <c r="G28" s="48"/>
      <c r="H28" s="50">
        <v>25</v>
      </c>
      <c r="I28" s="126" t="s">
        <v>166</v>
      </c>
      <c r="J28" s="52">
        <v>1</v>
      </c>
      <c r="K28" s="34">
        <v>0</v>
      </c>
      <c r="L28" s="34">
        <f t="shared" si="1"/>
        <v>1</v>
      </c>
      <c r="M28" s="48"/>
      <c r="N28" s="50">
        <v>25</v>
      </c>
      <c r="O28" s="126" t="s">
        <v>184</v>
      </c>
      <c r="P28" s="52">
        <v>1</v>
      </c>
      <c r="Q28" s="34">
        <v>0</v>
      </c>
      <c r="R28" s="34">
        <f t="shared" si="2"/>
        <v>1</v>
      </c>
      <c r="S28" s="48"/>
      <c r="T28" s="50">
        <v>25</v>
      </c>
      <c r="U28" s="126" t="s">
        <v>147</v>
      </c>
      <c r="V28" s="52">
        <v>1</v>
      </c>
      <c r="W28" s="34">
        <v>0</v>
      </c>
      <c r="X28" s="34">
        <f t="shared" si="3"/>
        <v>1</v>
      </c>
      <c r="Y28" s="48"/>
      <c r="Z28" s="50">
        <v>25</v>
      </c>
      <c r="AA28" s="129" t="s">
        <v>194</v>
      </c>
      <c r="AB28" s="52">
        <v>1</v>
      </c>
      <c r="AC28" s="34">
        <v>0</v>
      </c>
      <c r="AD28" s="34">
        <f t="shared" si="4"/>
        <v>1</v>
      </c>
      <c r="AE28" s="48"/>
      <c r="AF28" s="50">
        <v>25</v>
      </c>
      <c r="AG28" s="129" t="s">
        <v>199</v>
      </c>
      <c r="AH28" s="52">
        <v>1</v>
      </c>
      <c r="AI28" s="34">
        <v>0</v>
      </c>
      <c r="AJ28" s="34">
        <f t="shared" si="5"/>
        <v>1</v>
      </c>
      <c r="AK28" s="48"/>
      <c r="AL28" s="50">
        <v>25</v>
      </c>
      <c r="AM28" s="129" t="s">
        <v>201</v>
      </c>
      <c r="AN28" s="52">
        <v>1</v>
      </c>
      <c r="AO28" s="34">
        <v>0</v>
      </c>
      <c r="AP28" s="34">
        <f t="shared" si="6"/>
        <v>1</v>
      </c>
      <c r="AQ28" s="48"/>
      <c r="AR28" s="50">
        <v>25</v>
      </c>
      <c r="AS28" s="129" t="s">
        <v>111</v>
      </c>
      <c r="AT28" s="52">
        <v>1</v>
      </c>
      <c r="AU28" s="34">
        <v>0</v>
      </c>
      <c r="AV28" s="34">
        <f t="shared" si="7"/>
        <v>1</v>
      </c>
      <c r="AW28" s="48"/>
      <c r="AX28" s="50">
        <v>25</v>
      </c>
      <c r="AY28" s="129" t="s">
        <v>115</v>
      </c>
      <c r="AZ28" s="52">
        <v>1</v>
      </c>
      <c r="BA28" s="34">
        <v>0</v>
      </c>
      <c r="BB28" s="34">
        <f t="shared" si="8"/>
        <v>1</v>
      </c>
      <c r="BC28" s="48"/>
      <c r="BD28" s="50">
        <v>25</v>
      </c>
      <c r="BE28" s="129" t="s">
        <v>213</v>
      </c>
      <c r="BF28" s="52">
        <v>1</v>
      </c>
      <c r="BG28" s="34">
        <v>0</v>
      </c>
      <c r="BH28" s="34">
        <f t="shared" si="9"/>
        <v>1</v>
      </c>
      <c r="BI28" s="48"/>
      <c r="BJ28" s="50">
        <v>25</v>
      </c>
      <c r="BK28" s="129" t="s">
        <v>132</v>
      </c>
      <c r="BL28" s="52">
        <v>1</v>
      </c>
      <c r="BM28" s="34">
        <v>0</v>
      </c>
      <c r="BN28" s="34">
        <f t="shared" si="10"/>
        <v>1</v>
      </c>
      <c r="BO28" s="48"/>
      <c r="BP28" s="50">
        <v>25</v>
      </c>
      <c r="BQ28" s="129" t="s">
        <v>153</v>
      </c>
      <c r="BR28" s="52">
        <v>1</v>
      </c>
      <c r="BS28" s="34">
        <v>0</v>
      </c>
      <c r="BT28" s="34">
        <f t="shared" si="11"/>
        <v>1</v>
      </c>
      <c r="BU28" s="48"/>
      <c r="BV28" s="50">
        <v>25</v>
      </c>
      <c r="BW28" s="133" t="s">
        <v>223</v>
      </c>
      <c r="BX28" s="52">
        <v>1</v>
      </c>
      <c r="BY28" s="34">
        <v>0</v>
      </c>
      <c r="BZ28" s="34">
        <f t="shared" si="12"/>
        <v>1</v>
      </c>
      <c r="CA28" s="48"/>
      <c r="CB28" s="50">
        <v>25</v>
      </c>
      <c r="CC28" s="133" t="s">
        <v>156</v>
      </c>
      <c r="CD28" s="52">
        <v>1</v>
      </c>
      <c r="CE28" s="34">
        <v>0</v>
      </c>
      <c r="CF28" s="34">
        <f t="shared" si="13"/>
        <v>1</v>
      </c>
      <c r="CG28" s="48"/>
      <c r="CH28" s="50">
        <v>25</v>
      </c>
      <c r="CI28" s="133" t="s">
        <v>156</v>
      </c>
      <c r="CJ28" s="52">
        <v>1</v>
      </c>
      <c r="CK28" s="34">
        <v>0</v>
      </c>
      <c r="CL28" s="34">
        <f t="shared" si="14"/>
        <v>1</v>
      </c>
      <c r="CM28" s="48"/>
      <c r="CN28" s="50">
        <v>25</v>
      </c>
      <c r="CO28" s="136" t="s">
        <v>213</v>
      </c>
      <c r="CP28" s="52">
        <v>1</v>
      </c>
      <c r="CQ28" s="34">
        <v>0</v>
      </c>
      <c r="CR28" s="34">
        <f t="shared" si="15"/>
        <v>1</v>
      </c>
      <c r="CS28" s="48"/>
      <c r="CT28" s="50">
        <v>25</v>
      </c>
      <c r="CU28" s="136" t="s">
        <v>124</v>
      </c>
      <c r="CV28" s="52">
        <v>1</v>
      </c>
      <c r="CW28" s="34">
        <v>0</v>
      </c>
      <c r="CX28" s="34">
        <f t="shared" si="16"/>
        <v>1</v>
      </c>
      <c r="CY28" s="48"/>
      <c r="CZ28" s="50">
        <v>25</v>
      </c>
      <c r="DA28" s="135" t="s">
        <v>235</v>
      </c>
      <c r="DB28" s="52">
        <v>1</v>
      </c>
      <c r="DC28" s="34">
        <v>0</v>
      </c>
      <c r="DD28" s="34">
        <f t="shared" si="17"/>
        <v>1</v>
      </c>
      <c r="DE28" s="48"/>
      <c r="DF28" s="50">
        <v>25</v>
      </c>
      <c r="DG28" s="135" t="s">
        <v>221</v>
      </c>
      <c r="DH28" s="52">
        <v>1</v>
      </c>
      <c r="DI28" s="34">
        <v>0</v>
      </c>
      <c r="DJ28" s="34">
        <f t="shared" si="18"/>
        <v>1</v>
      </c>
      <c r="DK28" s="48"/>
      <c r="DL28" s="50">
        <v>25</v>
      </c>
      <c r="DM28" s="135" t="s">
        <v>151</v>
      </c>
      <c r="DN28" s="52">
        <v>1</v>
      </c>
      <c r="DO28" s="34">
        <v>0</v>
      </c>
      <c r="DP28" s="34">
        <f t="shared" si="19"/>
        <v>1</v>
      </c>
      <c r="DQ28" s="48"/>
      <c r="DR28" s="50">
        <v>25</v>
      </c>
      <c r="DS28" s="135" t="s">
        <v>147</v>
      </c>
      <c r="DT28" s="52">
        <v>1</v>
      </c>
      <c r="DU28" s="34">
        <v>0</v>
      </c>
      <c r="DV28" s="34">
        <f t="shared" si="20"/>
        <v>1</v>
      </c>
    </row>
    <row r="29" spans="1:126" s="48" customFormat="1" x14ac:dyDescent="0.3">
      <c r="A29" s="48" t="s">
        <v>55</v>
      </c>
      <c r="C29" s="48" t="s">
        <v>167</v>
      </c>
      <c r="E29" s="48">
        <v>10</v>
      </c>
      <c r="F29" s="48">
        <v>10</v>
      </c>
      <c r="O29" s="48" t="s">
        <v>167</v>
      </c>
      <c r="Q29" s="48">
        <v>20</v>
      </c>
      <c r="R29" s="48">
        <v>20</v>
      </c>
      <c r="U29" s="48" t="s">
        <v>167</v>
      </c>
      <c r="W29" s="48">
        <v>20</v>
      </c>
      <c r="X29" s="48">
        <v>20</v>
      </c>
      <c r="AA29" s="48" t="s">
        <v>64</v>
      </c>
      <c r="AC29" s="48">
        <v>10</v>
      </c>
      <c r="AD29" s="48">
        <v>10</v>
      </c>
      <c r="AG29" s="48" t="s">
        <v>64</v>
      </c>
      <c r="AI29" s="48">
        <v>10</v>
      </c>
      <c r="AJ29" s="48">
        <v>10</v>
      </c>
      <c r="AM29" s="48" t="s">
        <v>68</v>
      </c>
      <c r="AO29" s="48">
        <v>10</v>
      </c>
      <c r="AP29" s="48">
        <v>10</v>
      </c>
      <c r="AS29" s="48" t="s">
        <v>167</v>
      </c>
      <c r="AU29" s="48">
        <v>10</v>
      </c>
      <c r="AV29" s="48">
        <v>10</v>
      </c>
      <c r="AY29" s="48" t="s">
        <v>101</v>
      </c>
      <c r="BA29" s="48">
        <v>10</v>
      </c>
      <c r="BB29" s="48">
        <v>10</v>
      </c>
      <c r="BE29" s="48" t="s">
        <v>101</v>
      </c>
      <c r="BG29" s="48">
        <v>10</v>
      </c>
      <c r="BH29" s="48">
        <v>10</v>
      </c>
      <c r="BK29" s="48" t="s">
        <v>68</v>
      </c>
      <c r="BM29" s="48">
        <v>10</v>
      </c>
      <c r="BN29" s="48">
        <v>10</v>
      </c>
      <c r="BQ29" s="48" t="s">
        <v>101</v>
      </c>
      <c r="BS29" s="48">
        <v>10</v>
      </c>
      <c r="BT29" s="48">
        <v>10</v>
      </c>
      <c r="BW29" s="48" t="s">
        <v>101</v>
      </c>
      <c r="BY29" s="48">
        <v>10</v>
      </c>
      <c r="BZ29" s="48">
        <v>10</v>
      </c>
      <c r="CC29" s="48" t="s">
        <v>68</v>
      </c>
      <c r="CE29" s="48">
        <v>10</v>
      </c>
      <c r="CF29" s="48">
        <v>10</v>
      </c>
      <c r="CI29" s="48" t="s">
        <v>68</v>
      </c>
      <c r="CK29" s="48">
        <v>10</v>
      </c>
      <c r="CL29" s="48">
        <v>10</v>
      </c>
      <c r="CO29" s="48" t="s">
        <v>68</v>
      </c>
      <c r="CQ29" s="48">
        <v>10</v>
      </c>
      <c r="CR29" s="48">
        <v>10</v>
      </c>
      <c r="CU29" s="48" t="s">
        <v>68</v>
      </c>
      <c r="CW29" s="48">
        <v>10</v>
      </c>
      <c r="CX29" s="48">
        <v>10</v>
      </c>
      <c r="DA29" s="48" t="s">
        <v>68</v>
      </c>
      <c r="DC29" s="48">
        <v>10</v>
      </c>
      <c r="DD29" s="48">
        <v>10</v>
      </c>
      <c r="DG29" s="48" t="s">
        <v>68</v>
      </c>
      <c r="DI29" s="48">
        <v>10</v>
      </c>
      <c r="DJ29" s="48">
        <v>10</v>
      </c>
      <c r="DM29" s="48" t="s">
        <v>68</v>
      </c>
      <c r="DO29" s="48">
        <v>10</v>
      </c>
      <c r="DP29" s="48">
        <v>10</v>
      </c>
      <c r="DS29" s="48" t="s">
        <v>68</v>
      </c>
      <c r="DU29" s="48">
        <v>10</v>
      </c>
      <c r="DV29" s="48">
        <v>10</v>
      </c>
    </row>
    <row r="30" spans="1:126" s="48" customFormat="1" x14ac:dyDescent="0.3">
      <c r="O30" s="48" t="s">
        <v>101</v>
      </c>
      <c r="Q30" s="48">
        <v>10</v>
      </c>
      <c r="R30" s="48">
        <v>10</v>
      </c>
      <c r="AA30" s="48" t="s">
        <v>167</v>
      </c>
      <c r="AC30" s="48">
        <v>10</v>
      </c>
      <c r="AD30" s="48">
        <v>10</v>
      </c>
      <c r="AG30" s="48" t="s">
        <v>101</v>
      </c>
      <c r="AI30" s="48">
        <v>10</v>
      </c>
      <c r="AJ30" s="48">
        <v>10</v>
      </c>
      <c r="AM30" s="48" t="s">
        <v>167</v>
      </c>
      <c r="AO30" s="48">
        <v>10</v>
      </c>
      <c r="AP30" s="48">
        <v>10</v>
      </c>
      <c r="AY30" s="48" t="s">
        <v>64</v>
      </c>
      <c r="BA30" s="48">
        <v>10</v>
      </c>
      <c r="BB30" s="48">
        <v>10</v>
      </c>
      <c r="BE30" s="48" t="s">
        <v>64</v>
      </c>
      <c r="BG30" s="48">
        <v>10</v>
      </c>
      <c r="BH30" s="48">
        <v>10</v>
      </c>
      <c r="CO30" s="48" t="s">
        <v>64</v>
      </c>
      <c r="CQ30" s="48">
        <v>20</v>
      </c>
      <c r="CR30" s="48">
        <v>20</v>
      </c>
      <c r="CU30" s="48" t="s">
        <v>64</v>
      </c>
      <c r="CW30" s="48">
        <v>20</v>
      </c>
      <c r="CX30" s="48">
        <v>20</v>
      </c>
      <c r="DA30" s="48" t="s">
        <v>64</v>
      </c>
      <c r="DC30" s="48">
        <v>20</v>
      </c>
      <c r="DD30" s="48">
        <v>20</v>
      </c>
      <c r="DS30" s="48" t="s">
        <v>144</v>
      </c>
      <c r="DU30" s="48">
        <v>10</v>
      </c>
      <c r="DV30" s="48">
        <v>10</v>
      </c>
    </row>
    <row r="31" spans="1:126" s="48" customFormat="1" x14ac:dyDescent="0.3">
      <c r="AA31" s="48" t="s">
        <v>101</v>
      </c>
      <c r="AC31" s="48">
        <v>10</v>
      </c>
      <c r="AD31" s="48">
        <v>10</v>
      </c>
      <c r="AG31" s="48" t="s">
        <v>167</v>
      </c>
      <c r="AI31" s="48">
        <v>10</v>
      </c>
      <c r="AJ31" s="48">
        <v>10</v>
      </c>
      <c r="BE31" s="48" t="s">
        <v>167</v>
      </c>
      <c r="BG31" s="48">
        <v>10</v>
      </c>
      <c r="BH31" s="48">
        <v>10</v>
      </c>
      <c r="CO31" s="48" t="s">
        <v>101</v>
      </c>
      <c r="CQ31" s="48">
        <v>10</v>
      </c>
      <c r="CR31" s="48">
        <v>10</v>
      </c>
      <c r="CU31" s="48" t="s">
        <v>101</v>
      </c>
      <c r="CW31" s="48">
        <v>10</v>
      </c>
      <c r="CX31" s="48">
        <v>10</v>
      </c>
      <c r="DA31" s="48" t="s">
        <v>101</v>
      </c>
      <c r="DC31" s="48">
        <v>10</v>
      </c>
      <c r="DD31" s="48">
        <v>10</v>
      </c>
    </row>
    <row r="32" spans="1:126" s="48" customFormat="1" x14ac:dyDescent="0.3"/>
    <row r="33" spans="1:87" ht="15" thickBot="1" x14ac:dyDescent="0.35"/>
    <row r="34" spans="1:87" ht="15" thickBot="1" x14ac:dyDescent="0.35">
      <c r="B34" s="144" t="s">
        <v>56</v>
      </c>
      <c r="C34" s="144"/>
      <c r="D34" s="144"/>
      <c r="E34" s="144"/>
      <c r="N34" s="53" t="s">
        <v>39</v>
      </c>
      <c r="O34" s="57"/>
      <c r="P34" s="54"/>
      <c r="R34" s="53" t="s">
        <v>57</v>
      </c>
      <c r="S34" s="57"/>
      <c r="T34" s="57"/>
      <c r="U34" s="54"/>
      <c r="W34" s="53" t="s">
        <v>58</v>
      </c>
      <c r="X34" s="54"/>
    </row>
    <row r="35" spans="1:87" ht="15" thickBot="1" x14ac:dyDescent="0.35">
      <c r="B35" s="53"/>
      <c r="C35" s="72" t="s">
        <v>51</v>
      </c>
      <c r="D35" s="73" t="s">
        <v>54</v>
      </c>
      <c r="E35" s="74"/>
      <c r="F35" s="75" t="s">
        <v>59</v>
      </c>
      <c r="G35" s="54"/>
      <c r="N35" s="59" t="s">
        <v>60</v>
      </c>
      <c r="O35" s="60"/>
      <c r="P35" s="61"/>
      <c r="R35" s="53" t="s">
        <v>60</v>
      </c>
      <c r="S35" s="57"/>
      <c r="T35" s="54"/>
      <c r="U35" s="51"/>
      <c r="W35" s="143" t="s">
        <v>4</v>
      </c>
      <c r="X35" s="51">
        <f>SUM(T36,T42,T48,T57)</f>
        <v>839</v>
      </c>
    </row>
    <row r="36" spans="1:87" ht="15" thickBot="1" x14ac:dyDescent="0.35">
      <c r="B36" s="49">
        <v>1</v>
      </c>
      <c r="C36" s="76" t="str" cm="1">
        <f t="array" ref="C36:C183">_xlfn.UNIQUE(_xlfn.VSTACK($C$4:$C$28,$I$4:$I$30,$O$4:$O$30,$U$4:$U$30,$AA$4:$AA$30,$AG$4:$AG$30,$AM$4:$AM$30,$AS$4:$AS$30,$AY$4:$AY$30,$BE$4:$BE$29,$BK$4:$BK$31,$BQ$4:$BQ$32,$BW$4:$BW$32,$CC$4:$CC$32,$CI$4:$CI$32,$CO$4:$CO$32,$CU$4:$CU$32,$DA$4:$DA$32,$DG$4:$DG$32,$DM$4:$DM$32,$DS$4:$DS$32))</f>
        <v>Romain Bardet</v>
      </c>
      <c r="D36" s="77">
        <f>_xlfn.IFNA(VLOOKUP(C36,$I$4:$L$30,4,FALSE),0)+_xlfn.IFNA(VLOOKUP(C36,$C$4:$F$28,4,FALSE),0)+_xlfn.IFNA(VLOOKUP(C36,$U$4:$X$30,4,FALSE),0)+_xlfn.IFNA(VLOOKUP(C36,$O$4:$R$30,4,FALSE),0)+_xlfn.IFNA(VLOOKUP(C36,$AA$4:$AD$30,4,FALSE),0)+_xlfn.IFNA(VLOOKUP(C36,$AG$4:$AJ$30,4,FALSE),0)+_xlfn.IFNA(VLOOKUP(C36,$AM$4:$AP$30,4,FALSE),0)+_xlfn.IFNA(VLOOKUP(C36,$AS$4:$AV$30,4,FALSE),0)+_xlfn.IFNA(VLOOKUP(C36,$AY$4:$BB$30,4,FALSE),0)+_xlfn.IFNA(VLOOKUP(C36,$BE$4:$BH$29,4,FALSE),0)+_xlfn.IFNA(VLOOKUP(C36,$BK$4:$BN$31,4,FALSE),0)+_xlfn.IFNA(VLOOKUP(C36,$BQ$4:$BT$32,4,FALSE),0)+_xlfn.IFNA(VLOOKUP(C36,$BW$4:$BZ$32,4,FALSE),0)+_xlfn.IFNA(VLOOKUP(C36,$CC$4:$CF$32,4,FALSE),0)+_xlfn.IFNA(VLOOKUP(C36,$CI$4:$CL$32,4,FALSE),0)+_xlfn.IFNA(VLOOKUP(C36,$CO$4:$CR$32,4,FALSE),0)+_xlfn.IFNA(VLOOKUP(C36,$CU$4:$CX$32,4,FALSE),0)+_xlfn.IFNA(VLOOKUP(C36,$DA$4:$DD$32,4,FALSE),0)+_xlfn.IFNA(VLOOKUP(C36,$DG$4:$DJ$32,4,FALSE),0)+_xlfn.IFNA(VLOOKUP(C36,$DM$4:$DP$32,4,FALSE),0)+_xlfn.IFNA(VLOOKUP(C36,$DS$4:$DV$32,4,FALSE),0)</f>
        <v>137</v>
      </c>
      <c r="F36" s="49" t="str" cm="1">
        <f t="array" ref="F36:G303">_xlfn._xlws.SORT($C$36:$D$303,2,-1,FALSE)</f>
        <v>Tadej Pogacar</v>
      </c>
      <c r="G36" s="51">
        <v>1123</v>
      </c>
      <c r="N36" s="59" t="s">
        <v>50</v>
      </c>
      <c r="O36" s="60" t="s">
        <v>51</v>
      </c>
      <c r="P36" s="61" t="s">
        <v>52</v>
      </c>
      <c r="R36" s="137" t="s">
        <v>4</v>
      </c>
      <c r="S36" s="57">
        <v>4</v>
      </c>
      <c r="T36" s="62">
        <v>564</v>
      </c>
      <c r="U36" s="51"/>
      <c r="W36" s="66" t="s">
        <v>2</v>
      </c>
      <c r="X36" s="51">
        <f>SUM(T37,T43,T50,T54)</f>
        <v>623</v>
      </c>
    </row>
    <row r="37" spans="1:87" x14ac:dyDescent="0.3">
      <c r="B37" s="78">
        <v>2</v>
      </c>
      <c r="C37" s="76" t="str">
        <v>Frank Van Den Broek</v>
      </c>
      <c r="D37" s="77">
        <f t="shared" ref="D37:D100" si="21">_xlfn.IFNA(VLOOKUP(C37,$I$4:$L$30,4,FALSE),0)+_xlfn.IFNA(VLOOKUP(C37,$C$4:$F$28,4,FALSE),0)+_xlfn.IFNA(VLOOKUP(C37,$U$4:$X$30,4,FALSE),0)+_xlfn.IFNA(VLOOKUP(C37,$O$4:$R$30,4,FALSE),0)+_xlfn.IFNA(VLOOKUP(C37,$AA$4:$AD$30,4,FALSE),0)+_xlfn.IFNA(VLOOKUP(C37,$AG$4:$AJ$30,4,FALSE),0)+_xlfn.IFNA(VLOOKUP(C37,$AM$4:$AP$30,4,FALSE),0)+_xlfn.IFNA(VLOOKUP(C37,$AS$4:$AV$30,4,FALSE),0)+_xlfn.IFNA(VLOOKUP(C37,$AY$4:$BB$30,4,FALSE),0)+_xlfn.IFNA(VLOOKUP(C37,$BE$4:$BH$29,4,FALSE),0)+_xlfn.IFNA(VLOOKUP(C37,$BK$4:$BN$31,4,FALSE),0)+_xlfn.IFNA(VLOOKUP(C37,$BQ$4:$BT$32,4,FALSE),0)+_xlfn.IFNA(VLOOKUP(C37,$BW$4:$BZ$32,4,FALSE),0)+_xlfn.IFNA(VLOOKUP(C37,$CC$4:$CF$32,4,FALSE),0)+_xlfn.IFNA(VLOOKUP(C37,$CI$4:$CL$32,4,FALSE),0)+_xlfn.IFNA(VLOOKUP(C37,$CO$4:$CR$32,4,FALSE),0)+_xlfn.IFNA(VLOOKUP(C37,$CU$4:$CX$32,4,FALSE),0)+_xlfn.IFNA(VLOOKUP(C37,$DA$4:$DD$32,4,FALSE),0)+_xlfn.IFNA(VLOOKUP(C37,$DG$4:$DJ$32,4,FALSE),0)+_xlfn.IFNA(VLOOKUP(C37,$DM$4:$DP$32,4,FALSE),0)+_xlfn.IFNA(VLOOKUP(C37,$DS$4:$DV$32,4,FALSE),0)</f>
        <v>105</v>
      </c>
      <c r="F37" s="49" t="str">
        <v>Remco Evenepoel</v>
      </c>
      <c r="G37" s="51">
        <v>786</v>
      </c>
      <c r="N37" s="49">
        <v>1</v>
      </c>
      <c r="O37" s="62" t="s">
        <v>64</v>
      </c>
      <c r="P37" s="62">
        <v>300</v>
      </c>
      <c r="R37" s="64" t="s">
        <v>2</v>
      </c>
      <c r="S37" s="35">
        <v>4</v>
      </c>
      <c r="T37" s="33">
        <v>378</v>
      </c>
      <c r="U37" s="51"/>
      <c r="W37" s="67" t="s">
        <v>3</v>
      </c>
      <c r="X37" s="51">
        <f>SUM(T38,T45,T51,T55)</f>
        <v>641</v>
      </c>
    </row>
    <row r="38" spans="1:87" ht="15" thickBot="1" x14ac:dyDescent="0.35">
      <c r="B38" s="49">
        <v>3</v>
      </c>
      <c r="C38" s="76" t="str">
        <v>Wout Van Aert</v>
      </c>
      <c r="D38" s="77">
        <f t="shared" si="21"/>
        <v>382</v>
      </c>
      <c r="F38" s="49" t="str">
        <v>Biniam Girmay</v>
      </c>
      <c r="G38" s="51">
        <v>725</v>
      </c>
      <c r="N38" s="49">
        <v>2</v>
      </c>
      <c r="O38" s="33" t="s">
        <v>100</v>
      </c>
      <c r="P38" s="33">
        <v>240</v>
      </c>
      <c r="R38" s="141" t="s">
        <v>3</v>
      </c>
      <c r="S38" s="35">
        <v>6</v>
      </c>
      <c r="T38" s="33">
        <v>324</v>
      </c>
      <c r="U38" s="51"/>
      <c r="W38" s="142" t="s">
        <v>1</v>
      </c>
      <c r="X38" s="52">
        <f>SUM(T39,T44,T49,T56)</f>
        <v>642</v>
      </c>
    </row>
    <row r="39" spans="1:87" ht="15" thickBot="1" x14ac:dyDescent="0.35">
      <c r="B39" s="49">
        <v>4</v>
      </c>
      <c r="C39" s="76" t="str">
        <v>Tadej Pogacar</v>
      </c>
      <c r="D39" s="77">
        <f t="shared" si="21"/>
        <v>1123</v>
      </c>
      <c r="F39" s="49" t="str">
        <v>Jonas Vingegaard</v>
      </c>
      <c r="G39" s="51">
        <v>578</v>
      </c>
      <c r="N39" s="49">
        <v>3</v>
      </c>
      <c r="O39" s="33" t="s">
        <v>101</v>
      </c>
      <c r="P39" s="33">
        <v>195</v>
      </c>
      <c r="R39" s="138" t="s">
        <v>1</v>
      </c>
      <c r="S39" s="58">
        <v>3</v>
      </c>
      <c r="T39" s="34">
        <v>357</v>
      </c>
      <c r="U39" s="51"/>
    </row>
    <row r="40" spans="1:87" ht="15" thickBot="1" x14ac:dyDescent="0.35">
      <c r="B40" s="78">
        <v>5</v>
      </c>
      <c r="C40" s="76" t="str">
        <v>Maxim Van Gils</v>
      </c>
      <c r="D40" s="77">
        <f t="shared" si="21"/>
        <v>77</v>
      </c>
      <c r="F40" s="49" t="str">
        <v>Jasper Philipsen</v>
      </c>
      <c r="G40" s="51">
        <v>515</v>
      </c>
      <c r="N40" s="49">
        <v>4</v>
      </c>
      <c r="O40" s="33" t="s">
        <v>113</v>
      </c>
      <c r="P40" s="33">
        <v>165</v>
      </c>
      <c r="R40" s="49"/>
      <c r="S40" s="35"/>
      <c r="T40" s="35"/>
      <c r="U40" s="51"/>
    </row>
    <row r="41" spans="1:87" ht="15" thickBot="1" x14ac:dyDescent="0.35">
      <c r="B41" s="49">
        <v>6</v>
      </c>
      <c r="C41" s="76" t="str">
        <v>Alex Aranburu</v>
      </c>
      <c r="D41" s="77">
        <f t="shared" si="21"/>
        <v>139</v>
      </c>
      <c r="F41" s="49" t="str">
        <v>Wout Van Aert</v>
      </c>
      <c r="G41" s="51">
        <v>382</v>
      </c>
      <c r="N41" s="49">
        <v>5</v>
      </c>
      <c r="O41" s="33" t="s">
        <v>157</v>
      </c>
      <c r="P41" s="33">
        <v>135</v>
      </c>
      <c r="R41" s="53" t="s">
        <v>61</v>
      </c>
      <c r="S41" s="57"/>
      <c r="T41" s="54"/>
      <c r="U41" s="51"/>
    </row>
    <row r="42" spans="1:87" x14ac:dyDescent="0.3">
      <c r="B42" s="49">
        <v>7</v>
      </c>
      <c r="C42" s="76" t="str">
        <v>Mads Pedersen</v>
      </c>
      <c r="D42" s="77">
        <f t="shared" si="21"/>
        <v>96</v>
      </c>
      <c r="F42" s="49" t="str">
        <v>Pascal Ackermann</v>
      </c>
      <c r="G42" s="51">
        <v>361</v>
      </c>
      <c r="I42" t="s">
        <v>73</v>
      </c>
      <c r="N42" s="49">
        <v>6</v>
      </c>
      <c r="O42" s="33" t="s">
        <v>118</v>
      </c>
      <c r="P42" s="33">
        <v>105</v>
      </c>
      <c r="R42" s="137" t="s">
        <v>4</v>
      </c>
      <c r="S42" s="57">
        <v>3</v>
      </c>
      <c r="T42" s="62">
        <v>135</v>
      </c>
      <c r="U42" s="51"/>
    </row>
    <row r="43" spans="1:87" x14ac:dyDescent="0.3">
      <c r="B43" s="78">
        <v>8</v>
      </c>
      <c r="C43" s="76" t="str">
        <v>Remco Evenepoel</v>
      </c>
      <c r="D43" s="77">
        <f t="shared" si="21"/>
        <v>786</v>
      </c>
      <c r="F43" s="49" t="str">
        <v>Richard Carapaz</v>
      </c>
      <c r="G43" s="51">
        <v>321</v>
      </c>
      <c r="I43" t="s">
        <v>2</v>
      </c>
      <c r="N43" s="49">
        <v>7</v>
      </c>
      <c r="O43" s="33" t="s">
        <v>104</v>
      </c>
      <c r="P43" s="33">
        <v>90</v>
      </c>
      <c r="R43" s="64" t="s">
        <v>2</v>
      </c>
      <c r="S43" s="35">
        <v>2</v>
      </c>
      <c r="T43" s="33">
        <v>75</v>
      </c>
      <c r="U43" s="51"/>
    </row>
    <row r="44" spans="1:87" ht="15" thickBot="1" x14ac:dyDescent="0.35">
      <c r="A44" s="35"/>
      <c r="B44" s="49">
        <v>9</v>
      </c>
      <c r="C44" s="76" t="str">
        <v>Pello Bilbao</v>
      </c>
      <c r="D44" s="77">
        <f t="shared" si="21"/>
        <v>31</v>
      </c>
      <c r="E44" s="35"/>
      <c r="F44" s="49" t="str">
        <v>Arnaud De Lie</v>
      </c>
      <c r="G44" s="51">
        <v>284</v>
      </c>
      <c r="I44" t="s">
        <v>3</v>
      </c>
      <c r="N44" s="49">
        <v>8</v>
      </c>
      <c r="O44" s="33" t="s">
        <v>105</v>
      </c>
      <c r="P44" s="33">
        <v>75</v>
      </c>
      <c r="R44" s="139" t="s">
        <v>1</v>
      </c>
      <c r="S44" s="35">
        <v>2</v>
      </c>
      <c r="T44" s="33">
        <v>130</v>
      </c>
      <c r="U44" s="51"/>
    </row>
    <row r="45" spans="1:87" ht="15" thickBot="1" x14ac:dyDescent="0.35">
      <c r="A45" s="35"/>
      <c r="B45" s="49">
        <v>10</v>
      </c>
      <c r="C45" s="76" t="str">
        <v>Alberto Bettiol</v>
      </c>
      <c r="D45" s="77">
        <f t="shared" si="21"/>
        <v>17</v>
      </c>
      <c r="E45" s="35"/>
      <c r="F45" s="49" t="str">
        <v>Matteo Jorgenson</v>
      </c>
      <c r="G45" s="51">
        <v>259</v>
      </c>
      <c r="I45" t="s">
        <v>4</v>
      </c>
      <c r="N45" s="49">
        <v>9</v>
      </c>
      <c r="O45" s="33" t="s">
        <v>126</v>
      </c>
      <c r="P45" s="33">
        <v>60</v>
      </c>
      <c r="R45" s="63" t="s">
        <v>3</v>
      </c>
      <c r="S45" s="58">
        <v>1</v>
      </c>
      <c r="T45" s="34">
        <v>5</v>
      </c>
      <c r="U45" s="51"/>
      <c r="CI45" s="55"/>
    </row>
    <row r="46" spans="1:87" ht="15" thickBot="1" x14ac:dyDescent="0.35">
      <c r="A46" s="32"/>
      <c r="B46" s="78">
        <v>11</v>
      </c>
      <c r="C46" s="76" t="str">
        <v>Tom Pidcock</v>
      </c>
      <c r="D46" s="77">
        <f t="shared" si="21"/>
        <v>95</v>
      </c>
      <c r="E46" s="35"/>
      <c r="F46" s="49" t="str">
        <v>Joao Almeida</v>
      </c>
      <c r="G46" s="51">
        <v>254</v>
      </c>
      <c r="I46" t="s">
        <v>1</v>
      </c>
      <c r="N46" s="49">
        <v>10</v>
      </c>
      <c r="O46" s="33" t="s">
        <v>121</v>
      </c>
      <c r="P46" s="33">
        <v>51</v>
      </c>
      <c r="R46" s="49"/>
      <c r="S46" s="35"/>
      <c r="T46" s="35"/>
      <c r="U46" s="51"/>
      <c r="CI46" s="56"/>
    </row>
    <row r="47" spans="1:87" ht="15" thickBot="1" x14ac:dyDescent="0.35">
      <c r="A47" s="32"/>
      <c r="B47" s="49">
        <v>12</v>
      </c>
      <c r="C47" s="76" t="str">
        <v>Egan Bernal</v>
      </c>
      <c r="D47" s="77">
        <f t="shared" si="21"/>
        <v>44</v>
      </c>
      <c r="E47" s="35"/>
      <c r="F47" s="49" t="str">
        <v>Fernando Gaviria</v>
      </c>
      <c r="G47" s="51">
        <v>227</v>
      </c>
      <c r="N47" s="49">
        <v>11</v>
      </c>
      <c r="O47" s="33" t="s">
        <v>134</v>
      </c>
      <c r="P47" s="33">
        <v>45</v>
      </c>
      <c r="R47" s="53" t="s">
        <v>62</v>
      </c>
      <c r="S47" s="57"/>
      <c r="T47" s="54"/>
      <c r="U47" s="51"/>
      <c r="CI47" s="56"/>
    </row>
    <row r="48" spans="1:87" x14ac:dyDescent="0.3">
      <c r="A48" s="32"/>
      <c r="B48" s="49">
        <v>13</v>
      </c>
      <c r="C48" s="76" t="str">
        <v>Ilan Van Wilder</v>
      </c>
      <c r="D48" s="77">
        <f t="shared" si="21"/>
        <v>48</v>
      </c>
      <c r="E48" s="35"/>
      <c r="F48" s="49" t="str">
        <v>Phil Bauhaus</v>
      </c>
      <c r="G48" s="51">
        <v>225</v>
      </c>
      <c r="N48" s="49">
        <v>12</v>
      </c>
      <c r="O48" s="33" t="s">
        <v>119</v>
      </c>
      <c r="P48" s="33">
        <v>42</v>
      </c>
      <c r="R48" s="137" t="s">
        <v>4</v>
      </c>
      <c r="S48" s="57">
        <v>2</v>
      </c>
      <c r="T48" s="62">
        <v>100</v>
      </c>
      <c r="U48" s="51"/>
      <c r="CI48" s="56"/>
    </row>
    <row r="49" spans="1:87" x14ac:dyDescent="0.3">
      <c r="A49" s="32"/>
      <c r="B49" s="78">
        <v>14</v>
      </c>
      <c r="C49" s="76" t="str">
        <v>Victor Campenaerts</v>
      </c>
      <c r="D49" s="77">
        <f t="shared" si="21"/>
        <v>170</v>
      </c>
      <c r="E49" s="35"/>
      <c r="F49" s="49" t="str">
        <v>Alexander Kristoff</v>
      </c>
      <c r="G49" s="51">
        <v>214</v>
      </c>
      <c r="N49" s="49">
        <v>13</v>
      </c>
      <c r="O49" s="33" t="s">
        <v>166</v>
      </c>
      <c r="P49" s="33">
        <v>39</v>
      </c>
      <c r="R49" s="139" t="s">
        <v>1</v>
      </c>
      <c r="S49" s="35">
        <v>2</v>
      </c>
      <c r="T49" s="33">
        <v>70</v>
      </c>
      <c r="U49" s="51"/>
      <c r="CI49" s="56"/>
    </row>
    <row r="50" spans="1:87" x14ac:dyDescent="0.3">
      <c r="A50" s="32"/>
      <c r="B50" s="49">
        <v>15</v>
      </c>
      <c r="C50" s="76" t="str">
        <v>Jai Hindley</v>
      </c>
      <c r="D50" s="77">
        <f t="shared" si="21"/>
        <v>64</v>
      </c>
      <c r="F50" s="49" t="str">
        <v>Derek Gee</v>
      </c>
      <c r="G50" s="51">
        <v>209</v>
      </c>
      <c r="N50" s="49">
        <v>14</v>
      </c>
      <c r="O50" s="33" t="s">
        <v>131</v>
      </c>
      <c r="P50" s="33">
        <v>36</v>
      </c>
      <c r="R50" s="64" t="s">
        <v>2</v>
      </c>
      <c r="S50" s="35">
        <v>2</v>
      </c>
      <c r="T50" s="33">
        <v>155</v>
      </c>
      <c r="U50" s="51"/>
      <c r="CI50" s="56"/>
    </row>
    <row r="51" spans="1:87" ht="15" thickBot="1" x14ac:dyDescent="0.35">
      <c r="A51" s="32"/>
      <c r="B51" s="49">
        <v>16</v>
      </c>
      <c r="C51" s="76" t="str">
        <v>Jonas Vingegaard</v>
      </c>
      <c r="D51" s="77">
        <f t="shared" si="21"/>
        <v>578</v>
      </c>
      <c r="E51" s="35"/>
      <c r="F51" s="49" t="str">
        <v>Dylan Groenewegen</v>
      </c>
      <c r="G51" s="51">
        <v>207</v>
      </c>
      <c r="N51" s="49">
        <v>15</v>
      </c>
      <c r="O51" s="33" t="s">
        <v>225</v>
      </c>
      <c r="P51" s="33">
        <v>33</v>
      </c>
      <c r="R51" s="63" t="s">
        <v>3</v>
      </c>
      <c r="S51" s="58">
        <v>2</v>
      </c>
      <c r="T51" s="34">
        <v>220</v>
      </c>
      <c r="U51" s="51"/>
      <c r="CI51" s="56"/>
    </row>
    <row r="52" spans="1:87" ht="15" thickBot="1" x14ac:dyDescent="0.35">
      <c r="A52" s="32"/>
      <c r="B52" s="78">
        <v>17</v>
      </c>
      <c r="C52" s="76" t="str">
        <v>Derek Gee</v>
      </c>
      <c r="D52" s="77">
        <f t="shared" si="21"/>
        <v>209</v>
      </c>
      <c r="E52" s="35"/>
      <c r="F52" s="49" t="str">
        <v>Mikel Landa</v>
      </c>
      <c r="G52" s="51">
        <v>205</v>
      </c>
      <c r="N52" s="49">
        <v>16</v>
      </c>
      <c r="O52" s="33" t="s">
        <v>164</v>
      </c>
      <c r="P52" s="33">
        <v>30</v>
      </c>
      <c r="R52" s="49"/>
      <c r="S52" s="35"/>
      <c r="T52" s="35"/>
      <c r="U52" s="51"/>
      <c r="CI52" s="56"/>
    </row>
    <row r="53" spans="1:87" ht="15" thickBot="1" x14ac:dyDescent="0.35">
      <c r="A53" s="32"/>
      <c r="B53" s="49">
        <v>18</v>
      </c>
      <c r="C53" s="76" t="str">
        <v>Aleksandr Vlasov</v>
      </c>
      <c r="D53" s="77">
        <f t="shared" si="21"/>
        <v>36</v>
      </c>
      <c r="E53" s="35"/>
      <c r="F53" s="49" t="str">
        <v>Simon Yates</v>
      </c>
      <c r="G53" s="51">
        <v>203</v>
      </c>
      <c r="N53" s="49">
        <v>17</v>
      </c>
      <c r="O53" s="33" t="s">
        <v>144</v>
      </c>
      <c r="P53" s="33">
        <v>27</v>
      </c>
      <c r="R53" s="53" t="s">
        <v>63</v>
      </c>
      <c r="S53" s="57"/>
      <c r="T53" s="54"/>
      <c r="U53" s="51"/>
      <c r="CI53" s="56"/>
    </row>
    <row r="54" spans="1:87" x14ac:dyDescent="0.3">
      <c r="A54" s="32"/>
      <c r="B54" s="49">
        <v>19</v>
      </c>
      <c r="C54" s="76" t="str">
        <v>Toms Skujins</v>
      </c>
      <c r="D54" s="77">
        <f t="shared" si="21"/>
        <v>82</v>
      </c>
      <c r="E54" s="35"/>
      <c r="F54" s="49" t="str">
        <v>Carlos Rodriguez</v>
      </c>
      <c r="G54" s="51">
        <v>191</v>
      </c>
      <c r="N54" s="49">
        <v>18</v>
      </c>
      <c r="O54" s="135" t="s">
        <v>132</v>
      </c>
      <c r="P54" s="33">
        <v>24</v>
      </c>
      <c r="R54" s="65" t="s">
        <v>2</v>
      </c>
      <c r="S54" s="57">
        <v>1</v>
      </c>
      <c r="T54" s="62">
        <v>15</v>
      </c>
      <c r="U54" s="51"/>
      <c r="CI54" s="56"/>
    </row>
    <row r="55" spans="1:87" x14ac:dyDescent="0.3">
      <c r="A55" s="32"/>
      <c r="B55" s="78">
        <v>20</v>
      </c>
      <c r="C55" s="76" t="str">
        <v>Geraint Thomas</v>
      </c>
      <c r="D55" s="77">
        <f t="shared" si="21"/>
        <v>17</v>
      </c>
      <c r="E55" s="35"/>
      <c r="F55" s="49" t="str">
        <v>Anthony Turgis</v>
      </c>
      <c r="G55" s="51">
        <v>187</v>
      </c>
      <c r="N55" s="49">
        <v>19</v>
      </c>
      <c r="O55" s="33" t="s">
        <v>147</v>
      </c>
      <c r="P55" s="33">
        <v>21</v>
      </c>
      <c r="R55" s="141" t="s">
        <v>3</v>
      </c>
      <c r="S55" s="35">
        <v>3</v>
      </c>
      <c r="T55" s="33">
        <v>92</v>
      </c>
      <c r="U55" s="51"/>
      <c r="CI55" s="56"/>
    </row>
    <row r="56" spans="1:87" x14ac:dyDescent="0.3">
      <c r="A56" s="32"/>
      <c r="B56" s="49">
        <v>21</v>
      </c>
      <c r="C56" s="76" t="str">
        <v>Steff Cras</v>
      </c>
      <c r="D56" s="77">
        <f t="shared" si="21"/>
        <v>41</v>
      </c>
      <c r="E56" s="35"/>
      <c r="F56" s="49" t="str">
        <v>Jonas Abrahamsen</v>
      </c>
      <c r="G56" s="51">
        <v>185</v>
      </c>
      <c r="N56" s="49">
        <v>20</v>
      </c>
      <c r="O56" s="135" t="s">
        <v>151</v>
      </c>
      <c r="P56" s="33">
        <v>18</v>
      </c>
      <c r="R56" s="139" t="s">
        <v>1</v>
      </c>
      <c r="S56" s="35">
        <v>2</v>
      </c>
      <c r="T56" s="33">
        <v>85</v>
      </c>
      <c r="U56" s="51"/>
      <c r="CI56" s="56"/>
    </row>
    <row r="57" spans="1:87" ht="15" thickBot="1" x14ac:dyDescent="0.35">
      <c r="A57" s="32"/>
      <c r="B57" s="49">
        <v>22</v>
      </c>
      <c r="C57" s="76" t="str">
        <v>Richard Carapazz</v>
      </c>
      <c r="D57" s="77">
        <f t="shared" si="21"/>
        <v>4</v>
      </c>
      <c r="E57" s="35"/>
      <c r="F57" s="49" t="str">
        <v>Primoz Roglic</v>
      </c>
      <c r="G57" s="51">
        <v>175</v>
      </c>
      <c r="N57" s="49">
        <v>21</v>
      </c>
      <c r="O57" s="135" t="s">
        <v>156</v>
      </c>
      <c r="P57" s="33">
        <v>15</v>
      </c>
      <c r="R57" s="140" t="s">
        <v>4</v>
      </c>
      <c r="S57" s="58">
        <v>1</v>
      </c>
      <c r="T57" s="34">
        <v>40</v>
      </c>
      <c r="U57" s="52"/>
      <c r="CI57" s="56"/>
    </row>
    <row r="58" spans="1:87" x14ac:dyDescent="0.3">
      <c r="A58" s="32"/>
      <c r="B58" s="78">
        <v>23</v>
      </c>
      <c r="C58" s="76" t="str">
        <v>Matteo Jorgenson</v>
      </c>
      <c r="D58" s="77">
        <f t="shared" si="21"/>
        <v>259</v>
      </c>
      <c r="E58" s="35"/>
      <c r="F58" s="49" t="str">
        <v>Victor Campenaerts</v>
      </c>
      <c r="G58" s="51">
        <v>170</v>
      </c>
      <c r="N58" s="49">
        <v>22</v>
      </c>
      <c r="O58" s="135" t="s">
        <v>217</v>
      </c>
      <c r="P58" s="33">
        <v>12</v>
      </c>
      <c r="CI58" s="56"/>
    </row>
    <row r="59" spans="1:87" x14ac:dyDescent="0.3">
      <c r="A59" s="32"/>
      <c r="B59" s="49">
        <v>24</v>
      </c>
      <c r="C59" s="76" t="str">
        <v>Tobias Johannessen</v>
      </c>
      <c r="D59" s="77">
        <f t="shared" si="21"/>
        <v>43</v>
      </c>
      <c r="E59" s="35"/>
      <c r="F59" s="49" t="str">
        <v>Adam Yates</v>
      </c>
      <c r="G59" s="51">
        <v>162</v>
      </c>
      <c r="N59" s="49">
        <v>23</v>
      </c>
      <c r="O59" s="33" t="s">
        <v>205</v>
      </c>
      <c r="P59" s="33">
        <v>9</v>
      </c>
      <c r="CI59" s="56"/>
    </row>
    <row r="60" spans="1:87" x14ac:dyDescent="0.3">
      <c r="A60" s="32"/>
      <c r="B60" s="49">
        <v>25</v>
      </c>
      <c r="C60" s="76" t="str">
        <v>Guillaume Martin</v>
      </c>
      <c r="D60" s="77">
        <f t="shared" si="21"/>
        <v>78</v>
      </c>
      <c r="E60" s="35"/>
      <c r="F60" s="49" t="str">
        <v>Giulio Ciccone</v>
      </c>
      <c r="G60" s="51">
        <v>158</v>
      </c>
      <c r="N60" s="49">
        <v>24</v>
      </c>
      <c r="O60" s="33" t="s">
        <v>215</v>
      </c>
      <c r="P60" s="33">
        <v>6</v>
      </c>
      <c r="CI60" s="56"/>
    </row>
    <row r="61" spans="1:87" ht="15" thickBot="1" x14ac:dyDescent="0.35">
      <c r="A61" s="32"/>
      <c r="B61" s="78">
        <v>26</v>
      </c>
      <c r="C61" s="76" t="str">
        <v>Kevin Vauquelin</v>
      </c>
      <c r="D61" s="77">
        <f t="shared" si="21"/>
        <v>141</v>
      </c>
      <c r="E61" s="35"/>
      <c r="F61" s="49" t="str">
        <v>Santiago Buitrago</v>
      </c>
      <c r="G61" s="51">
        <v>148</v>
      </c>
      <c r="N61" s="50">
        <v>25</v>
      </c>
      <c r="O61" s="34" t="s">
        <v>221</v>
      </c>
      <c r="P61" s="34">
        <v>3</v>
      </c>
      <c r="CI61" s="56"/>
    </row>
    <row r="62" spans="1:87" ht="15" thickBot="1" x14ac:dyDescent="0.35">
      <c r="A62" s="32"/>
      <c r="B62" s="49">
        <v>27</v>
      </c>
      <c r="C62" s="76" t="str">
        <v>Jonas Abrahamsen</v>
      </c>
      <c r="D62" s="77">
        <f t="shared" si="21"/>
        <v>185</v>
      </c>
      <c r="E62" s="35"/>
      <c r="F62" s="49" t="str">
        <v>Enric Mas</v>
      </c>
      <c r="G62" s="51">
        <v>146</v>
      </c>
      <c r="CI62" s="56"/>
    </row>
    <row r="63" spans="1:87" ht="15" thickBot="1" x14ac:dyDescent="0.35">
      <c r="A63" s="32"/>
      <c r="B63" s="49">
        <v>28</v>
      </c>
      <c r="C63" s="76" t="str">
        <v>Quentin Pacher</v>
      </c>
      <c r="D63" s="77">
        <f t="shared" si="21"/>
        <v>101</v>
      </c>
      <c r="E63" s="35"/>
      <c r="F63" s="49" t="str">
        <v>Kevin Vauquelin</v>
      </c>
      <c r="G63" s="51">
        <v>141</v>
      </c>
      <c r="N63" s="59" t="s">
        <v>61</v>
      </c>
      <c r="O63" s="60"/>
      <c r="P63" s="61"/>
      <c r="CI63" s="56"/>
    </row>
    <row r="64" spans="1:87" ht="15" thickBot="1" x14ac:dyDescent="0.35">
      <c r="A64" s="32"/>
      <c r="B64" s="78">
        <v>29</v>
      </c>
      <c r="C64" s="76" t="str">
        <v>Cristian Rodriguez</v>
      </c>
      <c r="D64" s="77">
        <f t="shared" si="21"/>
        <v>59</v>
      </c>
      <c r="E64" s="35"/>
      <c r="F64" s="49" t="str">
        <v>Alex Aranburu</v>
      </c>
      <c r="G64" s="51">
        <v>139</v>
      </c>
      <c r="N64" s="59" t="s">
        <v>50</v>
      </c>
      <c r="O64" s="60" t="s">
        <v>51</v>
      </c>
      <c r="P64" s="61" t="s">
        <v>52</v>
      </c>
      <c r="CI64" s="56"/>
    </row>
    <row r="65" spans="1:87" x14ac:dyDescent="0.3">
      <c r="A65" s="32"/>
      <c r="B65" s="49">
        <v>30</v>
      </c>
      <c r="C65" s="76" t="str">
        <v>Harold Tejada</v>
      </c>
      <c r="D65" s="77">
        <f t="shared" si="21"/>
        <v>74</v>
      </c>
      <c r="E65" s="35"/>
      <c r="F65" s="49" t="str">
        <v>Bryan Coquard</v>
      </c>
      <c r="G65" s="51">
        <v>138</v>
      </c>
      <c r="N65" s="49">
        <v>1</v>
      </c>
      <c r="O65" s="62" t="s">
        <v>144</v>
      </c>
      <c r="P65" s="62">
        <v>100</v>
      </c>
      <c r="CI65" s="56"/>
    </row>
    <row r="66" spans="1:87" x14ac:dyDescent="0.3">
      <c r="A66" s="35"/>
      <c r="B66" s="49">
        <v>31</v>
      </c>
      <c r="C66" s="76" t="str">
        <v>Nelson Oliveira</v>
      </c>
      <c r="D66" s="77">
        <f t="shared" si="21"/>
        <v>45</v>
      </c>
      <c r="E66" s="35"/>
      <c r="F66" s="49" t="str">
        <v>Romain Bardet</v>
      </c>
      <c r="G66" s="51">
        <v>137</v>
      </c>
      <c r="N66" s="49">
        <v>2</v>
      </c>
      <c r="O66" s="33" t="s">
        <v>64</v>
      </c>
      <c r="P66" s="33">
        <v>75</v>
      </c>
      <c r="CI66" s="56"/>
    </row>
    <row r="67" spans="1:87" x14ac:dyDescent="0.3">
      <c r="A67" s="35"/>
      <c r="B67" s="78">
        <v>32</v>
      </c>
      <c r="C67" s="76" t="str">
        <v>Axel Laurance</v>
      </c>
      <c r="D67" s="77">
        <f t="shared" si="21"/>
        <v>43</v>
      </c>
      <c r="E67" s="35"/>
      <c r="F67" s="49" t="str">
        <v>Sam Bennett</v>
      </c>
      <c r="G67" s="51">
        <v>137</v>
      </c>
      <c r="N67" s="49">
        <v>3</v>
      </c>
      <c r="O67" s="33" t="s">
        <v>100</v>
      </c>
      <c r="P67" s="33">
        <v>50</v>
      </c>
      <c r="CI67" s="56"/>
    </row>
    <row r="68" spans="1:87" x14ac:dyDescent="0.3">
      <c r="B68" s="49">
        <v>33</v>
      </c>
      <c r="C68" s="76" t="str">
        <v>Mike Teunissen</v>
      </c>
      <c r="D68" s="77">
        <f t="shared" si="21"/>
        <v>66</v>
      </c>
      <c r="F68" s="49" t="str">
        <v>Mark Cavendish</v>
      </c>
      <c r="G68" s="51">
        <v>124</v>
      </c>
      <c r="N68" s="49">
        <v>4</v>
      </c>
      <c r="O68" s="33" t="s">
        <v>105</v>
      </c>
      <c r="P68" s="33">
        <v>40</v>
      </c>
      <c r="CI68" s="56"/>
    </row>
    <row r="69" spans="1:87" ht="15" thickBot="1" x14ac:dyDescent="0.35">
      <c r="B69" s="49">
        <v>34</v>
      </c>
      <c r="C69" s="76" t="str">
        <v>Hugo Houle</v>
      </c>
      <c r="D69" s="77">
        <f t="shared" si="21"/>
        <v>27</v>
      </c>
      <c r="F69" s="49" t="str">
        <v>Marijn Van Den Berg</v>
      </c>
      <c r="G69" s="51">
        <v>108</v>
      </c>
      <c r="N69" s="49">
        <v>5</v>
      </c>
      <c r="O69" s="33" t="s">
        <v>101</v>
      </c>
      <c r="P69" s="33">
        <v>30</v>
      </c>
      <c r="CI69" s="71"/>
    </row>
    <row r="70" spans="1:87" x14ac:dyDescent="0.3">
      <c r="B70" s="78">
        <v>35</v>
      </c>
      <c r="C70" s="76" t="str">
        <v>Richard Carapaz</v>
      </c>
      <c r="D70" s="77">
        <f t="shared" si="21"/>
        <v>321</v>
      </c>
      <c r="F70" s="49" t="str">
        <v>Frank Van Den Broek</v>
      </c>
      <c r="G70" s="51">
        <v>105</v>
      </c>
      <c r="N70" s="49">
        <v>6</v>
      </c>
      <c r="O70" s="33" t="s">
        <v>156</v>
      </c>
      <c r="P70" s="33">
        <v>25</v>
      </c>
    </row>
    <row r="71" spans="1:87" x14ac:dyDescent="0.3">
      <c r="B71" s="49">
        <v>36</v>
      </c>
      <c r="C71" s="76" t="str">
        <v>Jordan Jegat</v>
      </c>
      <c r="D71" s="77">
        <f t="shared" si="21"/>
        <v>43</v>
      </c>
      <c r="F71" s="49" t="str">
        <v>Quentin Pacher</v>
      </c>
      <c r="G71" s="51">
        <v>101</v>
      </c>
      <c r="N71" s="49">
        <v>7</v>
      </c>
      <c r="O71" s="33" t="s">
        <v>120</v>
      </c>
      <c r="P71" s="33">
        <v>20</v>
      </c>
    </row>
    <row r="72" spans="1:87" x14ac:dyDescent="0.3">
      <c r="B72" s="49">
        <v>37</v>
      </c>
      <c r="C72" s="76" t="str">
        <v>Giulio Ciccone</v>
      </c>
      <c r="D72" s="77">
        <f t="shared" si="21"/>
        <v>158</v>
      </c>
      <c r="F72" s="49" t="str">
        <v>Mads Pedersen</v>
      </c>
      <c r="G72" s="51">
        <v>96</v>
      </c>
      <c r="N72" s="49">
        <v>8</v>
      </c>
      <c r="O72" s="33" t="s">
        <v>167</v>
      </c>
      <c r="P72" s="33">
        <v>15</v>
      </c>
    </row>
    <row r="73" spans="1:87" x14ac:dyDescent="0.3">
      <c r="B73" s="78">
        <v>38</v>
      </c>
      <c r="C73" s="76" t="str">
        <v>Romain Gregoire</v>
      </c>
      <c r="D73" s="77">
        <f t="shared" si="21"/>
        <v>28</v>
      </c>
      <c r="F73" s="49" t="str">
        <v>Tom Pidcock</v>
      </c>
      <c r="G73" s="51">
        <v>95</v>
      </c>
      <c r="N73" s="49">
        <v>9</v>
      </c>
      <c r="O73" s="33" t="s">
        <v>147</v>
      </c>
      <c r="P73" s="33">
        <v>10</v>
      </c>
    </row>
    <row r="74" spans="1:87" ht="15" thickBot="1" x14ac:dyDescent="0.35">
      <c r="B74" s="49">
        <v>39</v>
      </c>
      <c r="C74" s="76" t="str">
        <v>Felix Gall</v>
      </c>
      <c r="D74" s="77">
        <f t="shared" si="21"/>
        <v>87</v>
      </c>
      <c r="F74" s="49" t="str">
        <v>Juan Ayuso</v>
      </c>
      <c r="G74" s="51">
        <v>92</v>
      </c>
      <c r="N74" s="50">
        <v>10</v>
      </c>
      <c r="O74" s="33" t="s">
        <v>141</v>
      </c>
      <c r="P74" s="34">
        <v>5</v>
      </c>
    </row>
    <row r="75" spans="1:87" ht="15" thickBot="1" x14ac:dyDescent="0.35">
      <c r="B75" s="49">
        <v>40</v>
      </c>
      <c r="C75" s="76" t="str">
        <v>Carlos Rodriguez</v>
      </c>
      <c r="D75" s="77">
        <f t="shared" si="21"/>
        <v>191</v>
      </c>
      <c r="F75" s="49" t="str">
        <v>Ryan Gibbons</v>
      </c>
      <c r="G75" s="51">
        <v>91</v>
      </c>
      <c r="N75" s="35"/>
      <c r="O75" s="35"/>
      <c r="P75" s="35"/>
    </row>
    <row r="76" spans="1:87" ht="15" thickBot="1" x14ac:dyDescent="0.35">
      <c r="B76" s="78">
        <v>41</v>
      </c>
      <c r="C76" s="76" t="str">
        <v>Enric Mas</v>
      </c>
      <c r="D76" s="77">
        <f t="shared" si="21"/>
        <v>146</v>
      </c>
      <c r="F76" s="49" t="str">
        <v>Ben Healy</v>
      </c>
      <c r="G76" s="51">
        <v>91</v>
      </c>
      <c r="N76" s="59" t="s">
        <v>62</v>
      </c>
      <c r="O76" s="60"/>
      <c r="P76" s="61"/>
    </row>
    <row r="77" spans="1:87" ht="15" thickBot="1" x14ac:dyDescent="0.35">
      <c r="B77" s="49">
        <v>42</v>
      </c>
      <c r="C77" s="76" t="str">
        <v>Juan Ayuso</v>
      </c>
      <c r="D77" s="77">
        <f t="shared" si="21"/>
        <v>92</v>
      </c>
      <c r="F77" s="49" t="str">
        <v>Felix Gall</v>
      </c>
      <c r="G77" s="51">
        <v>87</v>
      </c>
      <c r="N77" s="59" t="s">
        <v>50</v>
      </c>
      <c r="O77" s="60" t="s">
        <v>51</v>
      </c>
      <c r="P77" s="61" t="s">
        <v>52</v>
      </c>
    </row>
    <row r="78" spans="1:87" x14ac:dyDescent="0.3">
      <c r="B78" s="49">
        <v>43</v>
      </c>
      <c r="C78" s="35">
        <v>0</v>
      </c>
      <c r="D78" s="77">
        <f t="shared" si="21"/>
        <v>0</v>
      </c>
      <c r="F78" s="49" t="str">
        <v>Laurens De Plus</v>
      </c>
      <c r="G78" s="51">
        <v>85</v>
      </c>
      <c r="N78" s="49">
        <v>1</v>
      </c>
      <c r="O78" s="62" t="s">
        <v>68</v>
      </c>
      <c r="P78" s="62">
        <v>150</v>
      </c>
    </row>
    <row r="79" spans="1:87" x14ac:dyDescent="0.3">
      <c r="B79" s="78">
        <v>44</v>
      </c>
      <c r="C79" s="35" t="str">
        <v>Biniam Girmay</v>
      </c>
      <c r="D79" s="77">
        <f t="shared" si="21"/>
        <v>725</v>
      </c>
      <c r="F79" s="49" t="str">
        <v>Arnaud Demare</v>
      </c>
      <c r="G79" s="51">
        <v>83</v>
      </c>
      <c r="N79" s="49">
        <v>2</v>
      </c>
      <c r="O79" s="33" t="s">
        <v>99</v>
      </c>
      <c r="P79" s="33">
        <v>120</v>
      </c>
    </row>
    <row r="80" spans="1:87" x14ac:dyDescent="0.3">
      <c r="B80" s="49">
        <v>45</v>
      </c>
      <c r="C80" s="35" t="str">
        <v>Fernando Gaviria</v>
      </c>
      <c r="D80" s="77">
        <f t="shared" si="21"/>
        <v>227</v>
      </c>
      <c r="F80" s="49" t="str">
        <v>Toms Skujins</v>
      </c>
      <c r="G80" s="51">
        <v>82</v>
      </c>
      <c r="N80" s="49">
        <v>3</v>
      </c>
      <c r="O80" s="33" t="s">
        <v>114</v>
      </c>
      <c r="P80" s="33">
        <v>100</v>
      </c>
    </row>
    <row r="81" spans="2:16" x14ac:dyDescent="0.3">
      <c r="B81" s="49">
        <v>46</v>
      </c>
      <c r="C81" s="35" t="str">
        <v>Arnaud De Lie</v>
      </c>
      <c r="D81" s="77">
        <f t="shared" si="21"/>
        <v>284</v>
      </c>
      <c r="F81" s="49" t="str">
        <v>Jasper Stuyven</v>
      </c>
      <c r="G81" s="51">
        <v>80</v>
      </c>
      <c r="N81" s="49">
        <v>4</v>
      </c>
      <c r="O81" s="33" t="s">
        <v>64</v>
      </c>
      <c r="P81" s="33">
        <v>80</v>
      </c>
    </row>
    <row r="82" spans="2:16" x14ac:dyDescent="0.3">
      <c r="B82" s="78">
        <v>47</v>
      </c>
      <c r="C82" s="35" t="str">
        <v>Dylan Groenewegen</v>
      </c>
      <c r="D82" s="77">
        <f t="shared" si="21"/>
        <v>207</v>
      </c>
      <c r="F82" s="49" t="str">
        <v>Clement Russo</v>
      </c>
      <c r="G82" s="51">
        <v>80</v>
      </c>
      <c r="N82" s="49">
        <v>5</v>
      </c>
      <c r="O82" s="33" t="s">
        <v>178</v>
      </c>
      <c r="P82" s="33">
        <v>60</v>
      </c>
    </row>
    <row r="83" spans="2:16" x14ac:dyDescent="0.3">
      <c r="B83" s="49">
        <v>48</v>
      </c>
      <c r="C83" s="35" t="str">
        <v>Phil Bauhaus</v>
      </c>
      <c r="D83" s="77">
        <f t="shared" si="21"/>
        <v>225</v>
      </c>
      <c r="F83" s="49" t="str">
        <v>Matteo Vercher</v>
      </c>
      <c r="G83" s="51">
        <v>80</v>
      </c>
      <c r="N83" s="49">
        <v>6</v>
      </c>
      <c r="O83" s="33" t="s">
        <v>109</v>
      </c>
      <c r="P83" s="33">
        <v>40</v>
      </c>
    </row>
    <row r="84" spans="2:16" x14ac:dyDescent="0.3">
      <c r="B84" s="49">
        <v>49</v>
      </c>
      <c r="C84" s="35" t="str">
        <v>Fabio Jakobsen</v>
      </c>
      <c r="D84" s="77">
        <f t="shared" si="21"/>
        <v>75</v>
      </c>
      <c r="F84" s="49" t="str">
        <v>Guillaume Martin</v>
      </c>
      <c r="G84" s="51">
        <v>78</v>
      </c>
      <c r="N84" s="49">
        <v>7</v>
      </c>
      <c r="O84" s="33" t="s">
        <v>101</v>
      </c>
      <c r="P84" s="33">
        <v>30</v>
      </c>
    </row>
    <row r="85" spans="2:16" x14ac:dyDescent="0.3">
      <c r="B85" s="78">
        <v>50</v>
      </c>
      <c r="C85" s="35" t="str">
        <v>Davide Ballerini</v>
      </c>
      <c r="D85" s="77">
        <f t="shared" si="21"/>
        <v>27</v>
      </c>
      <c r="F85" s="49" t="str">
        <v>Maxim Van Gils</v>
      </c>
      <c r="G85" s="51">
        <v>77</v>
      </c>
      <c r="N85" s="49">
        <v>8</v>
      </c>
      <c r="O85" s="33" t="s">
        <v>106</v>
      </c>
      <c r="P85" s="33">
        <v>20</v>
      </c>
    </row>
    <row r="86" spans="2:16" x14ac:dyDescent="0.3">
      <c r="B86" s="49">
        <v>51</v>
      </c>
      <c r="C86" s="35" t="str">
        <v>Sam Bennett</v>
      </c>
      <c r="D86" s="77">
        <f t="shared" si="21"/>
        <v>137</v>
      </c>
      <c r="F86" s="49" t="str">
        <v>Fabio Jakobsen</v>
      </c>
      <c r="G86" s="51">
        <v>75</v>
      </c>
      <c r="N86" s="49">
        <v>9</v>
      </c>
      <c r="O86" s="33" t="s">
        <v>167</v>
      </c>
      <c r="P86" s="33">
        <v>10</v>
      </c>
    </row>
    <row r="87" spans="2:16" ht="15" thickBot="1" x14ac:dyDescent="0.35">
      <c r="B87" s="49">
        <v>52</v>
      </c>
      <c r="C87" s="35" t="str">
        <v>Bryan Coquard</v>
      </c>
      <c r="D87" s="77">
        <f t="shared" si="21"/>
        <v>138</v>
      </c>
      <c r="F87" s="49" t="str">
        <v>Harold Tejada</v>
      </c>
      <c r="G87" s="51">
        <v>74</v>
      </c>
      <c r="N87" s="50">
        <v>10</v>
      </c>
      <c r="O87" s="33" t="s">
        <v>100</v>
      </c>
      <c r="P87" s="34">
        <v>5</v>
      </c>
    </row>
    <row r="88" spans="2:16" ht="15" thickBot="1" x14ac:dyDescent="0.35">
      <c r="B88" s="78">
        <v>53</v>
      </c>
      <c r="C88" s="35" t="str">
        <v>Jonas Rickaert</v>
      </c>
      <c r="D88" s="77">
        <f t="shared" si="21"/>
        <v>15</v>
      </c>
      <c r="F88" s="49" t="str">
        <v>Mike Teunissen</v>
      </c>
      <c r="G88" s="51">
        <v>66</v>
      </c>
      <c r="N88" s="35"/>
      <c r="O88" s="35"/>
      <c r="P88" s="35"/>
    </row>
    <row r="89" spans="2:16" ht="15" thickBot="1" x14ac:dyDescent="0.35">
      <c r="B89" s="49">
        <v>54</v>
      </c>
      <c r="C89" s="35" t="str">
        <v>Anthony Turgis</v>
      </c>
      <c r="D89" s="77">
        <f t="shared" si="21"/>
        <v>187</v>
      </c>
      <c r="F89" s="49" t="str">
        <v>Michal Kwiatkowski</v>
      </c>
      <c r="G89" s="51">
        <v>65</v>
      </c>
      <c r="N89" s="59" t="s">
        <v>63</v>
      </c>
      <c r="O89" s="60"/>
      <c r="P89" s="61"/>
    </row>
    <row r="90" spans="2:16" ht="15" thickBot="1" x14ac:dyDescent="0.35">
      <c r="B90" s="49">
        <v>55</v>
      </c>
      <c r="C90" s="35" t="str">
        <v>Marijn Van Den Berg</v>
      </c>
      <c r="D90" s="77">
        <f t="shared" si="21"/>
        <v>108</v>
      </c>
      <c r="F90" s="49" t="str">
        <v>Jai Hindley</v>
      </c>
      <c r="G90" s="51">
        <v>64</v>
      </c>
      <c r="N90" s="59" t="s">
        <v>50</v>
      </c>
      <c r="O90" s="60" t="s">
        <v>51</v>
      </c>
      <c r="P90" s="61" t="s">
        <v>52</v>
      </c>
    </row>
    <row r="91" spans="2:16" x14ac:dyDescent="0.3">
      <c r="B91" s="78">
        <v>56</v>
      </c>
      <c r="C91" s="35" t="str">
        <v>Pascal Ackermann</v>
      </c>
      <c r="D91" s="77">
        <f t="shared" si="21"/>
        <v>361</v>
      </c>
      <c r="F91" s="49" t="str">
        <v>Nikias Arndt</v>
      </c>
      <c r="G91" s="51">
        <v>64</v>
      </c>
      <c r="N91" s="49">
        <v>1</v>
      </c>
      <c r="O91" s="62" t="s">
        <v>101</v>
      </c>
      <c r="P91" s="62">
        <v>80</v>
      </c>
    </row>
    <row r="92" spans="2:16" x14ac:dyDescent="0.3">
      <c r="B92" s="49">
        <v>57</v>
      </c>
      <c r="C92" s="35" t="str">
        <v>Gerben Thijssen</v>
      </c>
      <c r="D92" s="77">
        <f t="shared" si="21"/>
        <v>48</v>
      </c>
      <c r="F92" s="49" t="str">
        <v>Cristian Rodriguez</v>
      </c>
      <c r="G92" s="51">
        <v>59</v>
      </c>
      <c r="N92" s="49">
        <v>2</v>
      </c>
      <c r="O92" s="33" t="s">
        <v>104</v>
      </c>
      <c r="P92" s="33">
        <v>60</v>
      </c>
    </row>
    <row r="93" spans="2:16" x14ac:dyDescent="0.3">
      <c r="B93" s="49">
        <v>58</v>
      </c>
      <c r="C93" s="35" t="str">
        <v>Jasper Stuyven</v>
      </c>
      <c r="D93" s="77">
        <f t="shared" si="21"/>
        <v>80</v>
      </c>
      <c r="F93" s="49" t="str">
        <v>Oier Lazkano</v>
      </c>
      <c r="G93" s="51">
        <v>54</v>
      </c>
      <c r="N93" s="49">
        <v>3</v>
      </c>
      <c r="O93" s="33" t="s">
        <v>105</v>
      </c>
      <c r="P93" s="33">
        <v>40</v>
      </c>
    </row>
    <row r="94" spans="2:16" x14ac:dyDescent="0.3">
      <c r="B94" s="78">
        <v>59</v>
      </c>
      <c r="C94" s="35" t="str">
        <v>Paul Lapeira</v>
      </c>
      <c r="D94" s="77">
        <f t="shared" si="21"/>
        <v>8</v>
      </c>
      <c r="F94" s="49" t="str">
        <v>John Degenkolb</v>
      </c>
      <c r="G94" s="51">
        <v>54</v>
      </c>
      <c r="N94" s="49">
        <v>4</v>
      </c>
      <c r="O94" s="33" t="s">
        <v>121</v>
      </c>
      <c r="P94" s="33">
        <v>30</v>
      </c>
    </row>
    <row r="95" spans="2:16" x14ac:dyDescent="0.3">
      <c r="B95" s="49">
        <v>60</v>
      </c>
      <c r="C95" s="35" t="str">
        <v>Matej Mohoric</v>
      </c>
      <c r="D95" s="77">
        <f t="shared" si="21"/>
        <v>7</v>
      </c>
      <c r="F95" s="49" t="str">
        <v>Mathieu Van Der Poel</v>
      </c>
      <c r="G95" s="51">
        <v>50</v>
      </c>
      <c r="N95" s="49">
        <v>5</v>
      </c>
      <c r="O95" s="33" t="s">
        <v>205</v>
      </c>
      <c r="P95" s="33">
        <v>25</v>
      </c>
    </row>
    <row r="96" spans="2:16" x14ac:dyDescent="0.3">
      <c r="B96" s="49">
        <v>61</v>
      </c>
      <c r="C96" s="35" t="str">
        <v>Thomas Gachignard</v>
      </c>
      <c r="D96" s="77">
        <f t="shared" si="21"/>
        <v>6</v>
      </c>
      <c r="F96" s="49" t="str">
        <v>Ilan Van Wilder</v>
      </c>
      <c r="G96" s="51">
        <v>48</v>
      </c>
      <c r="N96" s="49">
        <v>6</v>
      </c>
      <c r="O96" s="33" t="s">
        <v>159</v>
      </c>
      <c r="P96" s="33">
        <v>20</v>
      </c>
    </row>
    <row r="97" spans="2:16" x14ac:dyDescent="0.3">
      <c r="B97" s="78">
        <v>62</v>
      </c>
      <c r="C97" s="35" t="str">
        <v>Axel Zingle</v>
      </c>
      <c r="D97" s="77">
        <f t="shared" si="21"/>
        <v>39</v>
      </c>
      <c r="F97" s="49" t="str">
        <v>Gerben Thijssen</v>
      </c>
      <c r="G97" s="51">
        <v>48</v>
      </c>
      <c r="N97" s="49">
        <v>7</v>
      </c>
      <c r="O97" s="33" t="s">
        <v>135</v>
      </c>
      <c r="P97" s="33">
        <v>15</v>
      </c>
    </row>
    <row r="98" spans="2:16" x14ac:dyDescent="0.3">
      <c r="B98" s="49">
        <v>63</v>
      </c>
      <c r="C98" s="35" t="str">
        <v>Oier Lazkano</v>
      </c>
      <c r="D98" s="77">
        <f t="shared" si="21"/>
        <v>54</v>
      </c>
      <c r="F98" s="49" t="str">
        <v>Javier Romo</v>
      </c>
      <c r="G98" s="51">
        <v>46</v>
      </c>
      <c r="N98" s="49">
        <v>8</v>
      </c>
      <c r="O98" s="33" t="s">
        <v>176</v>
      </c>
      <c r="P98" s="33">
        <v>10</v>
      </c>
    </row>
    <row r="99" spans="2:16" x14ac:dyDescent="0.3">
      <c r="B99" s="49">
        <v>64</v>
      </c>
      <c r="C99" s="35" t="str">
        <v>Elmar Reinders</v>
      </c>
      <c r="D99" s="77">
        <f t="shared" si="21"/>
        <v>2</v>
      </c>
      <c r="F99" s="49" t="str">
        <v>Nelson Oliveira</v>
      </c>
      <c r="G99" s="51">
        <v>45</v>
      </c>
      <c r="N99" s="49">
        <v>9</v>
      </c>
      <c r="O99" s="33" t="s">
        <v>116</v>
      </c>
      <c r="P99" s="33">
        <v>5</v>
      </c>
    </row>
    <row r="100" spans="2:16" ht="15" thickBot="1" x14ac:dyDescent="0.35">
      <c r="B100" s="78">
        <v>65</v>
      </c>
      <c r="C100" s="35" t="str">
        <v>Oliver Naessen</v>
      </c>
      <c r="D100" s="77">
        <f t="shared" si="21"/>
        <v>15</v>
      </c>
      <c r="F100" s="49" t="str">
        <v>Stefan Bissegger</v>
      </c>
      <c r="G100" s="51">
        <v>45</v>
      </c>
      <c r="N100" s="50">
        <v>10</v>
      </c>
      <c r="O100" s="33" t="s">
        <v>152</v>
      </c>
      <c r="P100" s="34">
        <v>2</v>
      </c>
    </row>
    <row r="101" spans="2:16" x14ac:dyDescent="0.3">
      <c r="B101" s="49">
        <v>66</v>
      </c>
      <c r="C101" s="35" t="str">
        <v>Primoz Roglic</v>
      </c>
      <c r="D101" s="77">
        <f t="shared" ref="D101:D164" si="22">_xlfn.IFNA(VLOOKUP(C101,$I$4:$L$30,4,FALSE),0)+_xlfn.IFNA(VLOOKUP(C101,$C$4:$F$28,4,FALSE),0)+_xlfn.IFNA(VLOOKUP(C101,$U$4:$X$30,4,FALSE),0)+_xlfn.IFNA(VLOOKUP(C101,$O$4:$R$30,4,FALSE),0)+_xlfn.IFNA(VLOOKUP(C101,$AA$4:$AD$30,4,FALSE),0)+_xlfn.IFNA(VLOOKUP(C101,$AG$4:$AJ$30,4,FALSE),0)+_xlfn.IFNA(VLOOKUP(C101,$AM$4:$AP$30,4,FALSE),0)+_xlfn.IFNA(VLOOKUP(C101,$AS$4:$AV$30,4,FALSE),0)+_xlfn.IFNA(VLOOKUP(C101,$AY$4:$BB$30,4,FALSE),0)+_xlfn.IFNA(VLOOKUP(C101,$BE$4:$BH$29,4,FALSE),0)+_xlfn.IFNA(VLOOKUP(C101,$BK$4:$BN$31,4,FALSE),0)+_xlfn.IFNA(VLOOKUP(C101,$BQ$4:$BT$32,4,FALSE),0)+_xlfn.IFNA(VLOOKUP(C101,$BW$4:$BZ$32,4,FALSE),0)+_xlfn.IFNA(VLOOKUP(C101,$CC$4:$CF$32,4,FALSE),0)+_xlfn.IFNA(VLOOKUP(C101,$CI$4:$CL$32,4,FALSE),0)+_xlfn.IFNA(VLOOKUP(C101,$CO$4:$CR$32,4,FALSE),0)+_xlfn.IFNA(VLOOKUP(C101,$CU$4:$CX$32,4,FALSE),0)+_xlfn.IFNA(VLOOKUP(C101,$DA$4:$DD$32,4,FALSE),0)+_xlfn.IFNA(VLOOKUP(C101,$DG$4:$DJ$32,4,FALSE),0)+_xlfn.IFNA(VLOOKUP(C101,$DM$4:$DP$32,4,FALSE),0)+_xlfn.IFNA(VLOOKUP(C101,$DS$4:$DV$32,4,FALSE),0)</f>
        <v>175</v>
      </c>
      <c r="F101" s="49" t="str">
        <v>Soren Waerenskjold</v>
      </c>
      <c r="G101" s="51">
        <v>45</v>
      </c>
    </row>
    <row r="102" spans="2:16" x14ac:dyDescent="0.3">
      <c r="B102" s="49">
        <v>67</v>
      </c>
      <c r="C102" s="35" t="str">
        <v>Mikel Landa</v>
      </c>
      <c r="D102" s="77">
        <f t="shared" si="22"/>
        <v>205</v>
      </c>
      <c r="F102" s="49" t="str">
        <v>Oscar Onley</v>
      </c>
      <c r="G102" s="51">
        <v>45</v>
      </c>
    </row>
    <row r="103" spans="2:16" x14ac:dyDescent="0.3">
      <c r="B103" s="78">
        <v>68</v>
      </c>
      <c r="C103" s="35" t="str">
        <v>Joao Almeida</v>
      </c>
      <c r="D103" s="77">
        <f t="shared" si="22"/>
        <v>254</v>
      </c>
      <c r="F103" s="49" t="str">
        <v>Egan Bernal</v>
      </c>
      <c r="G103" s="51">
        <v>44</v>
      </c>
    </row>
    <row r="104" spans="2:16" x14ac:dyDescent="0.3">
      <c r="B104" s="49">
        <v>69</v>
      </c>
      <c r="C104" s="35" t="str">
        <v>Santiago Buitrago</v>
      </c>
      <c r="D104" s="77">
        <f t="shared" si="22"/>
        <v>148</v>
      </c>
      <c r="F104" s="49" t="str">
        <v>Tobias Johannessen</v>
      </c>
      <c r="G104" s="51">
        <v>43</v>
      </c>
    </row>
    <row r="105" spans="2:16" x14ac:dyDescent="0.3">
      <c r="B105" s="49">
        <v>70</v>
      </c>
      <c r="C105" s="35" t="str">
        <v>Adam Yates</v>
      </c>
      <c r="D105" s="77">
        <f t="shared" si="22"/>
        <v>162</v>
      </c>
      <c r="F105" s="49" t="str">
        <v>Axel Laurance</v>
      </c>
      <c r="G105" s="51">
        <v>43</v>
      </c>
    </row>
    <row r="106" spans="2:16" x14ac:dyDescent="0.3">
      <c r="B106" s="78">
        <v>71</v>
      </c>
      <c r="C106" s="35" t="str">
        <v>Gregor Muhlberger</v>
      </c>
      <c r="D106" s="77">
        <f t="shared" si="22"/>
        <v>15</v>
      </c>
      <c r="F106" s="49" t="str">
        <v>Jordan Jegat</v>
      </c>
      <c r="G106" s="51">
        <v>43</v>
      </c>
    </row>
    <row r="107" spans="2:16" x14ac:dyDescent="0.3">
      <c r="B107" s="49">
        <v>72</v>
      </c>
      <c r="C107" s="35" t="str">
        <v>Louis Meintjes</v>
      </c>
      <c r="D107" s="77">
        <f t="shared" si="22"/>
        <v>42</v>
      </c>
      <c r="F107" s="49" t="str">
        <v>Louis Meintjes</v>
      </c>
      <c r="G107" s="51">
        <v>42</v>
      </c>
    </row>
    <row r="108" spans="2:16" x14ac:dyDescent="0.3">
      <c r="B108" s="49">
        <v>73</v>
      </c>
      <c r="C108" s="35" t="str">
        <v>Mark Cavendish</v>
      </c>
      <c r="D108" s="77">
        <f t="shared" si="22"/>
        <v>124</v>
      </c>
      <c r="F108" s="49" t="str">
        <v>Steff Cras</v>
      </c>
      <c r="G108" s="51">
        <v>41</v>
      </c>
    </row>
    <row r="109" spans="2:16" x14ac:dyDescent="0.3">
      <c r="B109" s="78">
        <v>74</v>
      </c>
      <c r="C109" s="35" t="str">
        <v>Jasper Philipsen</v>
      </c>
      <c r="D109" s="77">
        <f t="shared" si="22"/>
        <v>515</v>
      </c>
      <c r="F109" s="49" t="str">
        <v>Axel Zingle</v>
      </c>
      <c r="G109" s="51">
        <v>39</v>
      </c>
    </row>
    <row r="110" spans="2:16" x14ac:dyDescent="0.3">
      <c r="B110" s="49">
        <v>75</v>
      </c>
      <c r="C110" s="35" t="str">
        <v>Alexander Kristoff</v>
      </c>
      <c r="D110" s="77">
        <f t="shared" si="22"/>
        <v>214</v>
      </c>
      <c r="F110" s="49" t="str">
        <v>Michael Matthews</v>
      </c>
      <c r="G110" s="51">
        <v>38</v>
      </c>
    </row>
    <row r="111" spans="2:16" x14ac:dyDescent="0.3">
      <c r="B111" s="49">
        <v>76</v>
      </c>
      <c r="C111" s="35" t="str">
        <v>Arnaud Demare</v>
      </c>
      <c r="D111" s="77">
        <f t="shared" si="22"/>
        <v>83</v>
      </c>
      <c r="F111" s="49" t="str">
        <v>Wilco Kelderman</v>
      </c>
      <c r="G111" s="51">
        <v>37</v>
      </c>
    </row>
    <row r="112" spans="2:16" x14ac:dyDescent="0.3">
      <c r="B112" s="78">
        <v>77</v>
      </c>
      <c r="C112" s="35" t="str">
        <v>Stefan Bissegger</v>
      </c>
      <c r="D112" s="77">
        <f t="shared" si="22"/>
        <v>45</v>
      </c>
      <c r="F112" s="49" t="str">
        <v>Aleksandr Vlasov</v>
      </c>
      <c r="G112" s="51">
        <v>36</v>
      </c>
    </row>
    <row r="113" spans="2:7" x14ac:dyDescent="0.3">
      <c r="B113" s="49">
        <v>78</v>
      </c>
      <c r="C113" s="35" t="str">
        <v>Cedric Beullens</v>
      </c>
      <c r="D113" s="77">
        <f t="shared" si="22"/>
        <v>9</v>
      </c>
      <c r="F113" s="49" t="str">
        <v>Alexey Lutsenko</v>
      </c>
      <c r="G113" s="51">
        <v>35</v>
      </c>
    </row>
    <row r="114" spans="2:7" x14ac:dyDescent="0.3">
      <c r="B114" s="49">
        <v>79</v>
      </c>
      <c r="C114" s="35" t="str">
        <v>Ryan Gibbons</v>
      </c>
      <c r="D114" s="77">
        <f t="shared" si="22"/>
        <v>91</v>
      </c>
      <c r="F114" s="49" t="str">
        <v>Bart Lemmen</v>
      </c>
      <c r="G114" s="51">
        <v>35</v>
      </c>
    </row>
    <row r="115" spans="2:7" x14ac:dyDescent="0.3">
      <c r="B115" s="78">
        <v>80</v>
      </c>
      <c r="C115" s="35" t="str">
        <v>Alexis Renard</v>
      </c>
      <c r="D115" s="77">
        <f t="shared" si="22"/>
        <v>5</v>
      </c>
      <c r="F115" s="49" t="str">
        <v>Pello Bilbao</v>
      </c>
      <c r="G115" s="51">
        <v>31</v>
      </c>
    </row>
    <row r="116" spans="2:7" x14ac:dyDescent="0.3">
      <c r="B116" s="49">
        <v>81</v>
      </c>
      <c r="C116" s="35" t="str">
        <v>Guillaume Boivin</v>
      </c>
      <c r="D116" s="77">
        <f t="shared" si="22"/>
        <v>4</v>
      </c>
      <c r="F116" s="49" t="str">
        <v>Wout Poels</v>
      </c>
      <c r="G116" s="51">
        <v>31</v>
      </c>
    </row>
    <row r="117" spans="2:7" x14ac:dyDescent="0.3">
      <c r="B117" s="49">
        <v>82</v>
      </c>
      <c r="C117" s="35" t="str">
        <v>Sandy Dujardin</v>
      </c>
      <c r="D117" s="77">
        <f t="shared" si="22"/>
        <v>17</v>
      </c>
      <c r="F117" s="49" t="str">
        <v>Magnus Cort</v>
      </c>
      <c r="G117" s="51">
        <v>30</v>
      </c>
    </row>
    <row r="118" spans="2:7" x14ac:dyDescent="0.3">
      <c r="B118" s="78">
        <v>83</v>
      </c>
      <c r="C118" s="35" t="str">
        <v>Daniel McLay</v>
      </c>
      <c r="D118" s="77">
        <f t="shared" si="22"/>
        <v>12</v>
      </c>
      <c r="F118" s="49" t="str">
        <v>Krists Neilands</v>
      </c>
      <c r="G118" s="51">
        <v>30</v>
      </c>
    </row>
    <row r="119" spans="2:7" x14ac:dyDescent="0.3">
      <c r="B119" s="49">
        <v>84</v>
      </c>
      <c r="C119" s="35" t="str">
        <v>Cees Bol</v>
      </c>
      <c r="D119" s="77">
        <f t="shared" si="22"/>
        <v>19</v>
      </c>
      <c r="F119" s="49" t="str">
        <v>Romain Gregoire</v>
      </c>
      <c r="G119" s="51">
        <v>28</v>
      </c>
    </row>
    <row r="120" spans="2:7" x14ac:dyDescent="0.3">
      <c r="B120" s="49">
        <v>85</v>
      </c>
      <c r="C120" s="35" t="str">
        <v>Piet Allegaert</v>
      </c>
      <c r="D120" s="77">
        <f t="shared" si="22"/>
        <v>22</v>
      </c>
      <c r="F120" s="49" t="str">
        <v>Hugo Houle</v>
      </c>
      <c r="G120" s="51">
        <v>27</v>
      </c>
    </row>
    <row r="121" spans="2:7" x14ac:dyDescent="0.3">
      <c r="B121" s="78">
        <v>86</v>
      </c>
      <c r="C121" s="35" t="str">
        <v>Mathieu Van Der Poel</v>
      </c>
      <c r="D121" s="77">
        <f t="shared" si="22"/>
        <v>50</v>
      </c>
      <c r="F121" s="49" t="str">
        <v>Davide Ballerini</v>
      </c>
      <c r="G121" s="51">
        <v>27</v>
      </c>
    </row>
    <row r="122" spans="2:7" x14ac:dyDescent="0.3">
      <c r="B122" s="49">
        <v>87</v>
      </c>
      <c r="C122" s="35" t="str">
        <v>Clement Russo</v>
      </c>
      <c r="D122" s="77">
        <f t="shared" si="22"/>
        <v>80</v>
      </c>
      <c r="F122" s="49" t="str">
        <v>Bruno Armirail</v>
      </c>
      <c r="G122" s="51">
        <v>27</v>
      </c>
    </row>
    <row r="123" spans="2:7" x14ac:dyDescent="0.3">
      <c r="B123" s="49">
        <v>88</v>
      </c>
      <c r="C123" s="35" t="str">
        <v>Oliver Naesen</v>
      </c>
      <c r="D123" s="77">
        <f t="shared" si="22"/>
        <v>13</v>
      </c>
      <c r="F123" s="49" t="str">
        <v>Alfred Wright</v>
      </c>
      <c r="G123" s="51">
        <v>25</v>
      </c>
    </row>
    <row r="124" spans="2:7" x14ac:dyDescent="0.3">
      <c r="B124" s="78">
        <v>89</v>
      </c>
      <c r="C124" s="35" t="str">
        <v>Amaury Capiot</v>
      </c>
      <c r="D124" s="77">
        <f t="shared" si="22"/>
        <v>9</v>
      </c>
      <c r="F124" s="49" t="str">
        <v>Jakob Fuglsang</v>
      </c>
      <c r="G124" s="51">
        <v>24</v>
      </c>
    </row>
    <row r="125" spans="2:7" x14ac:dyDescent="0.3">
      <c r="B125" s="49">
        <v>90</v>
      </c>
      <c r="C125" s="35" t="str">
        <v>Soren Waerenskjold</v>
      </c>
      <c r="D125" s="77">
        <f t="shared" si="22"/>
        <v>45</v>
      </c>
      <c r="F125" s="49" t="str">
        <v>Piet Allegaert</v>
      </c>
      <c r="G125" s="51">
        <v>22</v>
      </c>
    </row>
    <row r="126" spans="2:7" x14ac:dyDescent="0.3">
      <c r="B126" s="49">
        <v>91</v>
      </c>
      <c r="C126" s="35" t="str">
        <v>Michael Morkov</v>
      </c>
      <c r="D126" s="77">
        <f t="shared" si="22"/>
        <v>1</v>
      </c>
      <c r="F126" s="49" t="str">
        <v>Julien Bernard</v>
      </c>
      <c r="G126" s="51">
        <v>21</v>
      </c>
    </row>
    <row r="127" spans="2:7" x14ac:dyDescent="0.3">
      <c r="B127" s="78">
        <v>92</v>
      </c>
      <c r="C127" s="35" t="str">
        <v>Ben Healy</v>
      </c>
      <c r="D127" s="77">
        <f t="shared" si="22"/>
        <v>91</v>
      </c>
      <c r="F127" s="49" t="str">
        <v>Cees Bol</v>
      </c>
      <c r="G127" s="51">
        <v>19</v>
      </c>
    </row>
    <row r="128" spans="2:7" x14ac:dyDescent="0.3">
      <c r="B128" s="49">
        <v>93</v>
      </c>
      <c r="C128" s="35" t="str">
        <v>Stefan Kung</v>
      </c>
      <c r="D128" s="77">
        <f t="shared" si="22"/>
        <v>17</v>
      </c>
      <c r="F128" s="49" t="str">
        <v>Bob Jungels</v>
      </c>
      <c r="G128" s="51">
        <v>18</v>
      </c>
    </row>
    <row r="129" spans="2:7" x14ac:dyDescent="0.3">
      <c r="B129" s="49">
        <v>94</v>
      </c>
      <c r="C129" s="35" t="str">
        <v>Simon Yates</v>
      </c>
      <c r="D129" s="77">
        <f t="shared" si="22"/>
        <v>203</v>
      </c>
      <c r="F129" s="49" t="str">
        <v>Alberto Bettiol</v>
      </c>
      <c r="G129" s="51">
        <v>17</v>
      </c>
    </row>
    <row r="130" spans="2:7" x14ac:dyDescent="0.3">
      <c r="B130" s="78">
        <v>95</v>
      </c>
      <c r="C130" s="35" t="str">
        <v>Bruno Armirail</v>
      </c>
      <c r="D130" s="77">
        <f t="shared" si="22"/>
        <v>27</v>
      </c>
      <c r="F130" s="49" t="str">
        <v>Geraint Thomas</v>
      </c>
      <c r="G130" s="51">
        <v>17</v>
      </c>
    </row>
    <row r="131" spans="2:7" x14ac:dyDescent="0.3">
      <c r="B131" s="49">
        <v>96</v>
      </c>
      <c r="C131" s="35" t="str">
        <v>Raul Garcia</v>
      </c>
      <c r="D131" s="77">
        <f t="shared" si="22"/>
        <v>14</v>
      </c>
      <c r="F131" s="49" t="str">
        <v>Sandy Dujardin</v>
      </c>
      <c r="G131" s="51">
        <v>17</v>
      </c>
    </row>
    <row r="132" spans="2:7" x14ac:dyDescent="0.3">
      <c r="B132" s="49">
        <v>97</v>
      </c>
      <c r="C132" s="35" t="str">
        <v>Alfred Wright</v>
      </c>
      <c r="D132" s="77">
        <f t="shared" si="22"/>
        <v>25</v>
      </c>
      <c r="F132" s="49" t="str">
        <v>Stefan Kung</v>
      </c>
      <c r="G132" s="51">
        <v>17</v>
      </c>
    </row>
    <row r="133" spans="2:7" x14ac:dyDescent="0.3">
      <c r="B133" s="78">
        <v>98</v>
      </c>
      <c r="C133" s="35" t="str">
        <v>Soren Kragh Andersen</v>
      </c>
      <c r="D133" s="77">
        <f t="shared" si="22"/>
        <v>15</v>
      </c>
      <c r="F133" s="49" t="str">
        <v>Valentin Madouas</v>
      </c>
      <c r="G133" s="51">
        <v>17</v>
      </c>
    </row>
    <row r="134" spans="2:7" x14ac:dyDescent="0.3">
      <c r="B134" s="49">
        <v>99</v>
      </c>
      <c r="C134" s="35" t="str">
        <v>Nikias Arndt</v>
      </c>
      <c r="D134" s="77">
        <f t="shared" si="22"/>
        <v>64</v>
      </c>
      <c r="F134" s="49" t="str">
        <v>Danny Van Poppel</v>
      </c>
      <c r="G134" s="51">
        <v>17</v>
      </c>
    </row>
    <row r="135" spans="2:7" x14ac:dyDescent="0.3">
      <c r="B135" s="49">
        <v>100</v>
      </c>
      <c r="C135" s="35" t="str">
        <v>Bob Jungels</v>
      </c>
      <c r="D135" s="77">
        <f t="shared" si="22"/>
        <v>18</v>
      </c>
      <c r="F135" s="49" t="str">
        <v>Jonas Rickaert</v>
      </c>
      <c r="G135" s="51">
        <v>15</v>
      </c>
    </row>
    <row r="136" spans="2:7" x14ac:dyDescent="0.3">
      <c r="B136" s="78">
        <v>101</v>
      </c>
      <c r="C136" s="35" t="str">
        <v>Alexey Lutsenko</v>
      </c>
      <c r="D136" s="77">
        <f t="shared" si="22"/>
        <v>35</v>
      </c>
      <c r="F136" s="49" t="str">
        <v>Oliver Naessen</v>
      </c>
      <c r="G136" s="51">
        <v>15</v>
      </c>
    </row>
    <row r="137" spans="2:7" x14ac:dyDescent="0.3">
      <c r="B137" s="49">
        <v>102</v>
      </c>
      <c r="C137" s="35" t="str">
        <v>Javier Romo</v>
      </c>
      <c r="D137" s="77">
        <f t="shared" si="22"/>
        <v>46</v>
      </c>
      <c r="F137" s="49" t="str">
        <v>Gregor Muhlberger</v>
      </c>
      <c r="G137" s="51">
        <v>15</v>
      </c>
    </row>
    <row r="138" spans="2:7" x14ac:dyDescent="0.3">
      <c r="B138" s="49">
        <v>103</v>
      </c>
      <c r="C138" s="35" t="str">
        <v>Michael Matthews</v>
      </c>
      <c r="D138" s="77">
        <f t="shared" si="22"/>
        <v>38</v>
      </c>
      <c r="F138" s="49" t="str">
        <v>Soren Kragh Andersen</v>
      </c>
      <c r="G138" s="51">
        <v>15</v>
      </c>
    </row>
    <row r="139" spans="2:7" x14ac:dyDescent="0.3">
      <c r="B139" s="78">
        <v>104</v>
      </c>
      <c r="C139" s="35" t="str">
        <v>Rasmus Tiller</v>
      </c>
      <c r="D139" s="77">
        <f t="shared" si="22"/>
        <v>14</v>
      </c>
      <c r="F139" s="49" t="str">
        <v>Luka Mezgec</v>
      </c>
      <c r="G139" s="51">
        <v>15</v>
      </c>
    </row>
    <row r="140" spans="2:7" x14ac:dyDescent="0.3">
      <c r="B140" s="49">
        <v>105</v>
      </c>
      <c r="C140" s="35" t="str">
        <v>Rui Costa</v>
      </c>
      <c r="D140" s="77">
        <f t="shared" si="22"/>
        <v>13</v>
      </c>
      <c r="F140" s="49" t="str">
        <v>Dorian Godon</v>
      </c>
      <c r="G140" s="51">
        <v>15</v>
      </c>
    </row>
    <row r="141" spans="2:7" x14ac:dyDescent="0.3">
      <c r="B141" s="49">
        <v>106</v>
      </c>
      <c r="C141" s="35" t="str">
        <v>Jakob Fuglsang</v>
      </c>
      <c r="D141" s="77">
        <f t="shared" si="22"/>
        <v>24</v>
      </c>
      <c r="F141" s="49" t="str">
        <v>Raul Garcia</v>
      </c>
      <c r="G141" s="51">
        <v>14</v>
      </c>
    </row>
    <row r="142" spans="2:7" x14ac:dyDescent="0.3">
      <c r="B142" s="78">
        <v>107</v>
      </c>
      <c r="C142" s="35" t="str">
        <v>David Gaudu</v>
      </c>
      <c r="D142" s="77">
        <f t="shared" si="22"/>
        <v>11</v>
      </c>
      <c r="F142" s="49" t="str">
        <v>Rasmus Tiller</v>
      </c>
      <c r="G142" s="51">
        <v>14</v>
      </c>
    </row>
    <row r="143" spans="2:7" x14ac:dyDescent="0.3">
      <c r="B143" s="49">
        <v>108</v>
      </c>
      <c r="C143" s="35" t="str">
        <v>Hugo Page</v>
      </c>
      <c r="D143" s="77">
        <f t="shared" si="22"/>
        <v>9</v>
      </c>
      <c r="F143" s="49" t="str">
        <v>Stephen Williams</v>
      </c>
      <c r="G143" s="51">
        <v>14</v>
      </c>
    </row>
    <row r="144" spans="2:7" x14ac:dyDescent="0.3">
      <c r="B144" s="49">
        <v>109</v>
      </c>
      <c r="C144" s="35" t="str">
        <v>Gianni Vermeersch</v>
      </c>
      <c r="D144" s="77">
        <f t="shared" si="22"/>
        <v>7</v>
      </c>
      <c r="F144" s="49" t="str">
        <v>Oliver Naesen</v>
      </c>
      <c r="G144" s="51">
        <v>13</v>
      </c>
    </row>
    <row r="145" spans="2:7" x14ac:dyDescent="0.3">
      <c r="B145" s="78">
        <v>110</v>
      </c>
      <c r="C145" s="35" t="str">
        <v>Lukas Mezgec</v>
      </c>
      <c r="D145" s="77">
        <f t="shared" si="22"/>
        <v>6</v>
      </c>
      <c r="F145" s="49" t="str">
        <v>Rui Costa</v>
      </c>
      <c r="G145" s="51">
        <v>13</v>
      </c>
    </row>
    <row r="146" spans="2:7" x14ac:dyDescent="0.3">
      <c r="B146" s="49">
        <v>111</v>
      </c>
      <c r="C146" s="35" t="str">
        <v>John Degenkolb</v>
      </c>
      <c r="D146" s="77">
        <f t="shared" si="22"/>
        <v>54</v>
      </c>
      <c r="F146" s="49" t="str">
        <v>Daniel McLay</v>
      </c>
      <c r="G146" s="51">
        <v>12</v>
      </c>
    </row>
    <row r="147" spans="2:7" x14ac:dyDescent="0.3">
      <c r="B147" s="49">
        <v>112</v>
      </c>
      <c r="C147" s="35" t="str">
        <v>Wilco Kelderman</v>
      </c>
      <c r="D147" s="77">
        <f t="shared" si="22"/>
        <v>37</v>
      </c>
      <c r="F147" s="49" t="str">
        <v>Bram Welten</v>
      </c>
      <c r="G147" s="51">
        <v>12</v>
      </c>
    </row>
    <row r="148" spans="2:7" x14ac:dyDescent="0.3">
      <c r="B148" s="78">
        <v>113</v>
      </c>
      <c r="C148" s="35" t="str">
        <v>Odd Christian Eiking</v>
      </c>
      <c r="D148" s="77">
        <f t="shared" si="22"/>
        <v>9</v>
      </c>
      <c r="F148" s="49" t="str">
        <v>David Gaudu</v>
      </c>
      <c r="G148" s="51">
        <v>11</v>
      </c>
    </row>
    <row r="149" spans="2:7" x14ac:dyDescent="0.3">
      <c r="B149" s="49">
        <v>114</v>
      </c>
      <c r="C149" s="35" t="str">
        <v>Carlos Verona</v>
      </c>
      <c r="D149" s="77">
        <f t="shared" si="22"/>
        <v>9</v>
      </c>
      <c r="F149" s="49" t="str">
        <v>Jake Stewart</v>
      </c>
      <c r="G149" s="51">
        <v>11</v>
      </c>
    </row>
    <row r="150" spans="2:7" x14ac:dyDescent="0.3">
      <c r="B150" s="49">
        <v>115</v>
      </c>
      <c r="C150" s="35" t="str">
        <v>Bram Welten</v>
      </c>
      <c r="D150" s="77">
        <f t="shared" si="22"/>
        <v>12</v>
      </c>
      <c r="F150" s="49" t="str">
        <v>Laurenz Rex</v>
      </c>
      <c r="G150" s="51">
        <v>11</v>
      </c>
    </row>
    <row r="151" spans="2:7" x14ac:dyDescent="0.3">
      <c r="B151" s="78">
        <v>116</v>
      </c>
      <c r="C151" s="35" t="str">
        <v>Julien Bernard</v>
      </c>
      <c r="D151" s="77">
        <f t="shared" si="22"/>
        <v>21</v>
      </c>
      <c r="F151" s="49" t="str">
        <v>Christophe Laporte</v>
      </c>
      <c r="G151" s="51">
        <v>10</v>
      </c>
    </row>
    <row r="152" spans="2:7" x14ac:dyDescent="0.3">
      <c r="B152" s="49">
        <v>117</v>
      </c>
      <c r="C152" s="35" t="str">
        <v>Tiesj Bennoot</v>
      </c>
      <c r="D152" s="77">
        <f t="shared" si="22"/>
        <v>1</v>
      </c>
      <c r="F152" s="49" t="str">
        <v>Clement Champoussin</v>
      </c>
      <c r="G152" s="51">
        <v>10</v>
      </c>
    </row>
    <row r="153" spans="2:7" x14ac:dyDescent="0.3">
      <c r="B153" s="49">
        <v>118</v>
      </c>
      <c r="C153" s="35" t="str">
        <v>Luka Mezgec</v>
      </c>
      <c r="D153" s="77">
        <f t="shared" si="22"/>
        <v>15</v>
      </c>
      <c r="F153" s="49" t="str">
        <v>Cristian Rodirguez</v>
      </c>
      <c r="G153" s="51">
        <v>10</v>
      </c>
    </row>
    <row r="154" spans="2:7" x14ac:dyDescent="0.3">
      <c r="B154" s="78">
        <v>119</v>
      </c>
      <c r="C154" s="35" t="str">
        <v>Jake Stewart</v>
      </c>
      <c r="D154" s="77">
        <f t="shared" si="22"/>
        <v>11</v>
      </c>
      <c r="F154" s="49" t="str">
        <v>Cedric Beullens</v>
      </c>
      <c r="G154" s="51">
        <v>9</v>
      </c>
    </row>
    <row r="155" spans="2:7" x14ac:dyDescent="0.3">
      <c r="B155" s="49">
        <v>120</v>
      </c>
      <c r="C155" s="35" t="str">
        <v>Christophe Laporte</v>
      </c>
      <c r="D155" s="77">
        <f t="shared" si="22"/>
        <v>10</v>
      </c>
      <c r="F155" s="49" t="str">
        <v>Amaury Capiot</v>
      </c>
      <c r="G155" s="51">
        <v>9</v>
      </c>
    </row>
    <row r="156" spans="2:7" x14ac:dyDescent="0.3">
      <c r="B156" s="49">
        <v>121</v>
      </c>
      <c r="C156" s="35" t="str">
        <v>Laurenz Rex</v>
      </c>
      <c r="D156" s="77">
        <f t="shared" si="22"/>
        <v>11</v>
      </c>
      <c r="F156" s="49" t="str">
        <v>Hugo Page</v>
      </c>
      <c r="G156" s="51">
        <v>9</v>
      </c>
    </row>
    <row r="157" spans="2:7" x14ac:dyDescent="0.3">
      <c r="B157" s="78">
        <v>122</v>
      </c>
      <c r="C157" s="35" t="str">
        <v>Valentin Madouas</v>
      </c>
      <c r="D157" s="77">
        <f t="shared" si="22"/>
        <v>17</v>
      </c>
      <c r="F157" s="49" t="str">
        <v>Odd Christian Eiking</v>
      </c>
      <c r="G157" s="51">
        <v>9</v>
      </c>
    </row>
    <row r="158" spans="2:7" x14ac:dyDescent="0.3">
      <c r="B158" s="49">
        <v>123</v>
      </c>
      <c r="C158" s="35" t="str">
        <v>Jordan Tegat</v>
      </c>
      <c r="D158" s="77">
        <f t="shared" si="22"/>
        <v>5</v>
      </c>
      <c r="F158" s="49" t="str">
        <v>Carlos Verona</v>
      </c>
      <c r="G158" s="51">
        <v>9</v>
      </c>
    </row>
    <row r="159" spans="2:7" x14ac:dyDescent="0.3">
      <c r="B159" s="49">
        <v>124</v>
      </c>
      <c r="C159" s="35" t="str">
        <v>Georg Zimmermann</v>
      </c>
      <c r="D159" s="77">
        <f t="shared" si="22"/>
        <v>4</v>
      </c>
      <c r="F159" s="49" t="str">
        <v>Mathieu Burgaudeau</v>
      </c>
      <c r="G159" s="51">
        <v>9</v>
      </c>
    </row>
    <row r="160" spans="2:7" x14ac:dyDescent="0.3">
      <c r="B160" s="78">
        <v>125</v>
      </c>
      <c r="C160" s="35" t="str">
        <v>Chris Harper</v>
      </c>
      <c r="D160" s="77">
        <f t="shared" si="22"/>
        <v>7</v>
      </c>
      <c r="F160" s="49" t="str">
        <v>Paul Lapeira</v>
      </c>
      <c r="G160" s="51">
        <v>8</v>
      </c>
    </row>
    <row r="161" spans="2:7" x14ac:dyDescent="0.3">
      <c r="B161" s="49">
        <v>126</v>
      </c>
      <c r="C161" s="35" t="str">
        <v>Laurens De Plus</v>
      </c>
      <c r="D161" s="77">
        <f t="shared" si="22"/>
        <v>85</v>
      </c>
      <c r="F161" s="49" t="str">
        <v>Matej Mohoric</v>
      </c>
      <c r="G161" s="51">
        <v>7</v>
      </c>
    </row>
    <row r="162" spans="2:7" x14ac:dyDescent="0.3">
      <c r="B162" s="49">
        <v>127</v>
      </c>
      <c r="C162" s="35" t="str">
        <v>Danny Van Poppel</v>
      </c>
      <c r="D162" s="77">
        <f t="shared" si="22"/>
        <v>17</v>
      </c>
      <c r="F162" s="49" t="str">
        <v>Gianni Vermeersch</v>
      </c>
      <c r="G162" s="51">
        <v>7</v>
      </c>
    </row>
    <row r="163" spans="2:7" x14ac:dyDescent="0.3">
      <c r="B163" s="78">
        <v>128</v>
      </c>
      <c r="C163" s="35" t="str">
        <v>Oscar Onley</v>
      </c>
      <c r="D163" s="77">
        <f t="shared" si="22"/>
        <v>45</v>
      </c>
      <c r="F163" s="49" t="str">
        <v>Chris Harper</v>
      </c>
      <c r="G163" s="51">
        <v>7</v>
      </c>
    </row>
    <row r="164" spans="2:7" x14ac:dyDescent="0.3">
      <c r="B164" s="49">
        <v>129</v>
      </c>
      <c r="C164" s="35" t="str">
        <v>Magnus Cort</v>
      </c>
      <c r="D164" s="77">
        <f t="shared" si="22"/>
        <v>30</v>
      </c>
      <c r="F164" s="49" t="str">
        <v>Johannes Kulset</v>
      </c>
      <c r="G164" s="51">
        <v>7</v>
      </c>
    </row>
    <row r="165" spans="2:7" x14ac:dyDescent="0.3">
      <c r="B165" s="49">
        <v>130</v>
      </c>
      <c r="C165" s="35" t="str">
        <v>Wout Poels</v>
      </c>
      <c r="D165" s="77">
        <f t="shared" ref="D165:D173" si="23">_xlfn.IFNA(VLOOKUP(C165,$I$4:$L$30,4,FALSE),0)+_xlfn.IFNA(VLOOKUP(C165,$C$4:$F$28,4,FALSE),0)+_xlfn.IFNA(VLOOKUP(C165,$U$4:$X$30,4,FALSE),0)+_xlfn.IFNA(VLOOKUP(C165,$O$4:$R$30,4,FALSE),0)+_xlfn.IFNA(VLOOKUP(C165,$AA$4:$AD$30,4,FALSE),0)+_xlfn.IFNA(VLOOKUP(C165,$AG$4:$AJ$30,4,FALSE),0)+_xlfn.IFNA(VLOOKUP(C165,$AM$4:$AP$30,4,FALSE),0)+_xlfn.IFNA(VLOOKUP(C165,$AS$4:$AV$30,4,FALSE),0)+_xlfn.IFNA(VLOOKUP(C165,$AY$4:$BB$30,4,FALSE),0)+_xlfn.IFNA(VLOOKUP(C165,$BE$4:$BH$29,4,FALSE),0)+_xlfn.IFNA(VLOOKUP(C165,$BK$4:$BN$31,4,FALSE),0)+_xlfn.IFNA(VLOOKUP(C165,$BQ$4:$BT$32,4,FALSE),0)+_xlfn.IFNA(VLOOKUP(C165,$BW$4:$BZ$32,4,FALSE),0)+_xlfn.IFNA(VLOOKUP(C165,$CC$4:$CF$32,4,FALSE),0)+_xlfn.IFNA(VLOOKUP(C165,$CI$4:$CL$32,4,FALSE),0)+_xlfn.IFNA(VLOOKUP(C165,$CO$4:$CR$32,4,FALSE),0)+_xlfn.IFNA(VLOOKUP(C165,$CU$4:$CX$32,4,FALSE),0)+_xlfn.IFNA(VLOOKUP(C165,$DA$4:$DD$32,4,FALSE),0)+_xlfn.IFNA(VLOOKUP(C165,$DG$4:$DJ$32,4,FALSE),0)+_xlfn.IFNA(VLOOKUP(C165,$DM$4:$DP$32,4,FALSE),0)+_xlfn.IFNA(VLOOKUP(C165,$DS$4:$DV$32,4,FALSE),0)</f>
        <v>31</v>
      </c>
      <c r="F165" s="49" t="str">
        <v>Kevin Geniets</v>
      </c>
      <c r="G165" s="51">
        <v>7</v>
      </c>
    </row>
    <row r="166" spans="2:7" x14ac:dyDescent="0.3">
      <c r="B166" s="78">
        <v>131</v>
      </c>
      <c r="C166" s="35" t="str">
        <v>Stephen Williams</v>
      </c>
      <c r="D166" s="77">
        <f t="shared" si="23"/>
        <v>14</v>
      </c>
      <c r="F166" s="49" t="str">
        <v>Thomas Gachignard</v>
      </c>
      <c r="G166" s="51">
        <v>6</v>
      </c>
    </row>
    <row r="167" spans="2:7" x14ac:dyDescent="0.3">
      <c r="B167" s="49">
        <v>132</v>
      </c>
      <c r="C167" s="35" t="str">
        <v>Johannes Kulset</v>
      </c>
      <c r="D167" s="77">
        <f t="shared" si="23"/>
        <v>7</v>
      </c>
      <c r="F167" s="49" t="str">
        <v>Lukas Mezgec</v>
      </c>
      <c r="G167" s="51">
        <v>6</v>
      </c>
    </row>
    <row r="168" spans="2:7" x14ac:dyDescent="0.3">
      <c r="B168" s="49">
        <v>133</v>
      </c>
      <c r="C168" s="35" t="str">
        <v>Harm Vanhoucke</v>
      </c>
      <c r="D168" s="77">
        <f t="shared" si="23"/>
        <v>3</v>
      </c>
      <c r="F168" s="49" t="str">
        <v>Alexis Renard</v>
      </c>
      <c r="G168" s="51">
        <v>5</v>
      </c>
    </row>
    <row r="169" spans="2:7" x14ac:dyDescent="0.3">
      <c r="B169" s="78">
        <v>134</v>
      </c>
      <c r="C169" s="35" t="str">
        <v>Marco Haller</v>
      </c>
      <c r="D169" s="77">
        <f t="shared" si="23"/>
        <v>2</v>
      </c>
      <c r="F169" s="49" t="str">
        <v>Jordan Tegat</v>
      </c>
      <c r="G169" s="51">
        <v>5</v>
      </c>
    </row>
    <row r="170" spans="2:7" x14ac:dyDescent="0.3">
      <c r="B170" s="49">
        <v>135</v>
      </c>
      <c r="C170" s="35" t="str">
        <v>Matteo Vercher</v>
      </c>
      <c r="D170" s="77">
        <f t="shared" si="23"/>
        <v>80</v>
      </c>
      <c r="F170" s="49" t="str">
        <v>Richard Carapazz</v>
      </c>
      <c r="G170" s="51">
        <v>4</v>
      </c>
    </row>
    <row r="171" spans="2:7" x14ac:dyDescent="0.3">
      <c r="B171" s="49">
        <v>136</v>
      </c>
      <c r="C171" s="35" t="str">
        <v>Michal Kwiatkowski</v>
      </c>
      <c r="D171" s="77">
        <f t="shared" si="23"/>
        <v>65</v>
      </c>
      <c r="F171" s="49" t="str">
        <v>Guillaume Boivin</v>
      </c>
      <c r="G171" s="51">
        <v>4</v>
      </c>
    </row>
    <row r="172" spans="2:7" x14ac:dyDescent="0.3">
      <c r="B172" s="78">
        <v>137</v>
      </c>
      <c r="C172" s="35" t="str">
        <v>Bart Lemmen</v>
      </c>
      <c r="D172" s="77">
        <f t="shared" si="23"/>
        <v>35</v>
      </c>
      <c r="F172" s="49" t="str">
        <v>Georg Zimmermann</v>
      </c>
      <c r="G172" s="51">
        <v>4</v>
      </c>
    </row>
    <row r="173" spans="2:7" x14ac:dyDescent="0.3">
      <c r="B173" s="49">
        <v>138</v>
      </c>
      <c r="C173" s="35" t="str">
        <v>Krists Neilands</v>
      </c>
      <c r="D173" s="77">
        <f t="shared" si="23"/>
        <v>30</v>
      </c>
      <c r="F173" s="49" t="str">
        <v>Harm Vanhoucke</v>
      </c>
      <c r="G173" s="51">
        <v>3</v>
      </c>
    </row>
    <row r="174" spans="2:7" x14ac:dyDescent="0.3">
      <c r="B174" s="49">
        <v>139</v>
      </c>
      <c r="C174" s="35" t="str">
        <v>Dorian Godon</v>
      </c>
      <c r="D174" s="77">
        <f t="shared" ref="D174:D228" si="24">_xlfn.IFNA(VLOOKUP(C174,$I$4:$L$30,4,FALSE),0)+_xlfn.IFNA(VLOOKUP(C174,$C$4:$F$28,4,FALSE),0)+_xlfn.IFNA(VLOOKUP(C174,$U$4:$X$30,4,FALSE),0)+_xlfn.IFNA(VLOOKUP(C174,$O$4:$R$30,4,FALSE),0)+_xlfn.IFNA(VLOOKUP(C174,$AA$4:$AD$30,4,FALSE),0)+_xlfn.IFNA(VLOOKUP(C174,$AG$4:$AJ$30,4,FALSE),0)+_xlfn.IFNA(VLOOKUP(C174,$AM$4:$AP$30,4,FALSE),0)+_xlfn.IFNA(VLOOKUP(C174,$AS$4:$AV$30,4,FALSE),0)+_xlfn.IFNA(VLOOKUP(C174,$AY$4:$BB$30,4,FALSE),0)+_xlfn.IFNA(VLOOKUP(C174,$BE$4:$BH$29,4,FALSE),0)+_xlfn.IFNA(VLOOKUP(C174,$BK$4:$BN$31,4,FALSE),0)+_xlfn.IFNA(VLOOKUP(C174,$BQ$4:$BT$32,4,FALSE),0)+_xlfn.IFNA(VLOOKUP(C174,$BW$4:$BZ$32,4,FALSE),0)+_xlfn.IFNA(VLOOKUP(C174,$CC$4:$CF$32,4,FALSE),0)+_xlfn.IFNA(VLOOKUP(C174,$CI$4:$CL$32,4,FALSE),0)+_xlfn.IFNA(VLOOKUP(C174,$CO$4:$CR$32,4,FALSE),0)+_xlfn.IFNA(VLOOKUP(C174,$CU$4:$CX$32,4,FALSE),0)+_xlfn.IFNA(VLOOKUP(C174,$DA$4:$DD$32,4,FALSE),0)+_xlfn.IFNA(VLOOKUP(C174,$DG$4:$DJ$32,4,FALSE),0)+_xlfn.IFNA(VLOOKUP(C174,$DM$4:$DP$32,4,FALSE),0)</f>
        <v>15</v>
      </c>
      <c r="F174" s="49" t="str">
        <v>Elmar Reinders</v>
      </c>
      <c r="G174" s="51">
        <v>2</v>
      </c>
    </row>
    <row r="175" spans="2:7" x14ac:dyDescent="0.3">
      <c r="B175" s="78">
        <v>140</v>
      </c>
      <c r="C175" s="35" t="str">
        <v>Clement Champoussin</v>
      </c>
      <c r="D175" s="77">
        <f t="shared" si="24"/>
        <v>10</v>
      </c>
      <c r="F175" s="49" t="str">
        <v>Marco Haller</v>
      </c>
      <c r="G175" s="51">
        <v>2</v>
      </c>
    </row>
    <row r="176" spans="2:7" x14ac:dyDescent="0.3">
      <c r="B176" s="49">
        <v>141</v>
      </c>
      <c r="C176" s="35" t="str">
        <v>Mathieu Burgaudeau</v>
      </c>
      <c r="D176" s="77">
        <f t="shared" si="24"/>
        <v>9</v>
      </c>
      <c r="F176" s="49" t="str">
        <v>Michael Morkov</v>
      </c>
      <c r="G176" s="51">
        <v>1</v>
      </c>
    </row>
    <row r="177" spans="2:7" x14ac:dyDescent="0.3">
      <c r="B177" s="49">
        <v>142</v>
      </c>
      <c r="C177" s="35" t="str">
        <v>Sean Quinn</v>
      </c>
      <c r="D177" s="77">
        <f t="shared" si="24"/>
        <v>1</v>
      </c>
      <c r="F177" s="49" t="str">
        <v>Tiesj Bennoot</v>
      </c>
      <c r="G177" s="51">
        <v>1</v>
      </c>
    </row>
    <row r="178" spans="2:7" x14ac:dyDescent="0.3">
      <c r="B178" s="78">
        <v>143</v>
      </c>
      <c r="C178" s="35" t="str">
        <v>Cristian Rodirguez</v>
      </c>
      <c r="D178" s="77">
        <f t="shared" si="24"/>
        <v>10</v>
      </c>
      <c r="F178" s="49" t="str">
        <v>Sean Quinn</v>
      </c>
      <c r="G178" s="51">
        <v>1</v>
      </c>
    </row>
    <row r="179" spans="2:7" x14ac:dyDescent="0.3">
      <c r="B179" s="49">
        <v>144</v>
      </c>
      <c r="C179" s="35" t="str">
        <v>Kevin Geniets</v>
      </c>
      <c r="D179" s="77">
        <f t="shared" si="24"/>
        <v>7</v>
      </c>
      <c r="F179" s="49">
        <v>0</v>
      </c>
      <c r="G179" s="51">
        <v>0</v>
      </c>
    </row>
    <row r="180" spans="2:7" x14ac:dyDescent="0.3">
      <c r="B180" s="49">
        <v>145</v>
      </c>
      <c r="C180" s="35" t="str">
        <v>Lenny Martinez</v>
      </c>
      <c r="D180" s="77">
        <f t="shared" si="24"/>
        <v>0</v>
      </c>
      <c r="F180" s="49" t="str">
        <v>Lenny Martinez</v>
      </c>
      <c r="G180" s="51">
        <v>0</v>
      </c>
    </row>
    <row r="181" spans="2:7" x14ac:dyDescent="0.3">
      <c r="B181" s="78">
        <v>146</v>
      </c>
      <c r="C181" s="35" t="str">
        <v>Neilson Powless</v>
      </c>
      <c r="D181" s="77">
        <f t="shared" si="24"/>
        <v>0</v>
      </c>
      <c r="F181" s="49" t="str">
        <v>Neilson Powless</v>
      </c>
      <c r="G181" s="51">
        <v>0</v>
      </c>
    </row>
    <row r="182" spans="2:7" x14ac:dyDescent="0.3">
      <c r="B182" s="49">
        <v>147</v>
      </c>
      <c r="C182" s="35" t="str">
        <v>Matteo Sobrero</v>
      </c>
      <c r="D182" s="77">
        <f t="shared" si="24"/>
        <v>0</v>
      </c>
      <c r="F182" s="49" t="str">
        <v>Matteo Sobrero</v>
      </c>
      <c r="G182" s="51">
        <v>0</v>
      </c>
    </row>
    <row r="183" spans="2:7" x14ac:dyDescent="0.3">
      <c r="B183" s="49">
        <v>148</v>
      </c>
      <c r="C183" s="35" t="str">
        <v>Jan Tratnik</v>
      </c>
      <c r="D183" s="77">
        <f t="shared" si="24"/>
        <v>0</v>
      </c>
      <c r="F183" s="49" t="str">
        <v>Jan Tratnik</v>
      </c>
      <c r="G183" s="51">
        <v>0</v>
      </c>
    </row>
    <row r="184" spans="2:7" x14ac:dyDescent="0.3">
      <c r="B184" s="78">
        <v>149</v>
      </c>
      <c r="C184" s="35"/>
      <c r="D184" s="77">
        <f t="shared" si="24"/>
        <v>0</v>
      </c>
      <c r="F184" s="49">
        <v>0</v>
      </c>
      <c r="G184" s="51">
        <v>0</v>
      </c>
    </row>
    <row r="185" spans="2:7" x14ac:dyDescent="0.3">
      <c r="B185" s="49">
        <v>150</v>
      </c>
      <c r="C185" s="35"/>
      <c r="D185" s="77">
        <f t="shared" si="24"/>
        <v>0</v>
      </c>
      <c r="F185" s="49">
        <v>0</v>
      </c>
      <c r="G185" s="51">
        <v>0</v>
      </c>
    </row>
    <row r="186" spans="2:7" x14ac:dyDescent="0.3">
      <c r="B186" s="49">
        <v>151</v>
      </c>
      <c r="C186" s="35"/>
      <c r="D186" s="77">
        <f t="shared" si="24"/>
        <v>0</v>
      </c>
      <c r="F186" s="49">
        <v>0</v>
      </c>
      <c r="G186" s="51">
        <v>0</v>
      </c>
    </row>
    <row r="187" spans="2:7" x14ac:dyDescent="0.3">
      <c r="B187" s="78">
        <v>152</v>
      </c>
      <c r="C187" s="35"/>
      <c r="D187" s="77">
        <f t="shared" si="24"/>
        <v>0</v>
      </c>
      <c r="F187" s="49">
        <v>0</v>
      </c>
      <c r="G187" s="51">
        <v>0</v>
      </c>
    </row>
    <row r="188" spans="2:7" x14ac:dyDescent="0.3">
      <c r="B188" s="49">
        <v>153</v>
      </c>
      <c r="C188" s="35"/>
      <c r="D188" s="77">
        <f t="shared" si="24"/>
        <v>0</v>
      </c>
      <c r="F188" s="49">
        <v>0</v>
      </c>
      <c r="G188" s="51">
        <v>0</v>
      </c>
    </row>
    <row r="189" spans="2:7" x14ac:dyDescent="0.3">
      <c r="B189" s="49">
        <v>154</v>
      </c>
      <c r="C189" s="35"/>
      <c r="D189" s="77">
        <f t="shared" si="24"/>
        <v>0</v>
      </c>
      <c r="F189" s="49">
        <v>0</v>
      </c>
      <c r="G189" s="51">
        <v>0</v>
      </c>
    </row>
    <row r="190" spans="2:7" x14ac:dyDescent="0.3">
      <c r="B190" s="78">
        <v>155</v>
      </c>
      <c r="C190" s="35"/>
      <c r="D190" s="77">
        <f t="shared" si="24"/>
        <v>0</v>
      </c>
      <c r="F190" s="49">
        <v>0</v>
      </c>
      <c r="G190" s="51">
        <v>0</v>
      </c>
    </row>
    <row r="191" spans="2:7" x14ac:dyDescent="0.3">
      <c r="B191" s="49">
        <v>156</v>
      </c>
      <c r="C191" s="35"/>
      <c r="D191" s="77">
        <f t="shared" si="24"/>
        <v>0</v>
      </c>
      <c r="F191" s="49">
        <v>0</v>
      </c>
      <c r="G191" s="51">
        <v>0</v>
      </c>
    </row>
    <row r="192" spans="2:7" x14ac:dyDescent="0.3">
      <c r="B192" s="49">
        <v>157</v>
      </c>
      <c r="C192" s="35"/>
      <c r="D192" s="77">
        <f t="shared" si="24"/>
        <v>0</v>
      </c>
      <c r="F192" s="49">
        <v>0</v>
      </c>
      <c r="G192" s="51">
        <v>0</v>
      </c>
    </row>
    <row r="193" spans="2:7" x14ac:dyDescent="0.3">
      <c r="B193" s="78">
        <v>158</v>
      </c>
      <c r="C193" s="35"/>
      <c r="D193" s="77">
        <f t="shared" si="24"/>
        <v>0</v>
      </c>
      <c r="F193" s="49">
        <v>0</v>
      </c>
      <c r="G193" s="51">
        <v>0</v>
      </c>
    </row>
    <row r="194" spans="2:7" x14ac:dyDescent="0.3">
      <c r="B194" s="49">
        <v>159</v>
      </c>
      <c r="C194" s="35"/>
      <c r="D194" s="77">
        <f t="shared" si="24"/>
        <v>0</v>
      </c>
      <c r="F194" s="49">
        <v>0</v>
      </c>
      <c r="G194" s="51">
        <v>0</v>
      </c>
    </row>
    <row r="195" spans="2:7" x14ac:dyDescent="0.3">
      <c r="B195" s="49">
        <v>160</v>
      </c>
      <c r="C195" s="35"/>
      <c r="D195" s="77">
        <f t="shared" si="24"/>
        <v>0</v>
      </c>
      <c r="F195" s="49">
        <v>0</v>
      </c>
      <c r="G195" s="51">
        <v>0</v>
      </c>
    </row>
    <row r="196" spans="2:7" x14ac:dyDescent="0.3">
      <c r="B196" s="78">
        <v>161</v>
      </c>
      <c r="C196" s="35"/>
      <c r="D196" s="77">
        <f t="shared" si="24"/>
        <v>0</v>
      </c>
      <c r="F196" s="49">
        <v>0</v>
      </c>
      <c r="G196" s="51">
        <v>0</v>
      </c>
    </row>
    <row r="197" spans="2:7" x14ac:dyDescent="0.3">
      <c r="B197" s="49">
        <v>162</v>
      </c>
      <c r="C197" s="35"/>
      <c r="D197" s="77">
        <f t="shared" si="24"/>
        <v>0</v>
      </c>
      <c r="F197" s="49">
        <v>0</v>
      </c>
      <c r="G197" s="51">
        <v>0</v>
      </c>
    </row>
    <row r="198" spans="2:7" x14ac:dyDescent="0.3">
      <c r="B198" s="49">
        <v>163</v>
      </c>
      <c r="C198" s="35"/>
      <c r="D198" s="77">
        <f t="shared" si="24"/>
        <v>0</v>
      </c>
      <c r="F198" s="49">
        <v>0</v>
      </c>
      <c r="G198" s="51">
        <v>0</v>
      </c>
    </row>
    <row r="199" spans="2:7" x14ac:dyDescent="0.3">
      <c r="B199" s="78">
        <v>164</v>
      </c>
      <c r="C199" s="35"/>
      <c r="D199" s="77">
        <f t="shared" si="24"/>
        <v>0</v>
      </c>
      <c r="F199" s="49">
        <v>0</v>
      </c>
      <c r="G199" s="51">
        <v>0</v>
      </c>
    </row>
    <row r="200" spans="2:7" x14ac:dyDescent="0.3">
      <c r="B200" s="49">
        <v>165</v>
      </c>
      <c r="C200" s="35"/>
      <c r="D200" s="77">
        <f t="shared" si="24"/>
        <v>0</v>
      </c>
      <c r="F200" s="49">
        <v>0</v>
      </c>
      <c r="G200" s="51">
        <v>0</v>
      </c>
    </row>
    <row r="201" spans="2:7" x14ac:dyDescent="0.3">
      <c r="B201" s="49">
        <v>166</v>
      </c>
      <c r="C201" s="35"/>
      <c r="D201" s="77">
        <f t="shared" si="24"/>
        <v>0</v>
      </c>
      <c r="F201" s="49">
        <v>0</v>
      </c>
      <c r="G201" s="51">
        <v>0</v>
      </c>
    </row>
    <row r="202" spans="2:7" x14ac:dyDescent="0.3">
      <c r="B202" s="78">
        <v>167</v>
      </c>
      <c r="C202" s="35"/>
      <c r="D202" s="77">
        <f t="shared" si="24"/>
        <v>0</v>
      </c>
      <c r="F202" s="49">
        <v>0</v>
      </c>
      <c r="G202" s="51">
        <v>0</v>
      </c>
    </row>
    <row r="203" spans="2:7" x14ac:dyDescent="0.3">
      <c r="B203" s="49">
        <v>168</v>
      </c>
      <c r="C203" s="35"/>
      <c r="D203" s="77">
        <f t="shared" si="24"/>
        <v>0</v>
      </c>
      <c r="F203" s="49">
        <v>0</v>
      </c>
      <c r="G203" s="51">
        <v>0</v>
      </c>
    </row>
    <row r="204" spans="2:7" x14ac:dyDescent="0.3">
      <c r="B204" s="49">
        <v>169</v>
      </c>
      <c r="C204" s="35"/>
      <c r="D204" s="77">
        <f t="shared" si="24"/>
        <v>0</v>
      </c>
      <c r="F204" s="49">
        <v>0</v>
      </c>
      <c r="G204" s="51">
        <v>0</v>
      </c>
    </row>
    <row r="205" spans="2:7" x14ac:dyDescent="0.3">
      <c r="B205" s="78">
        <v>170</v>
      </c>
      <c r="C205" s="35"/>
      <c r="D205" s="77">
        <f t="shared" si="24"/>
        <v>0</v>
      </c>
      <c r="F205" s="49">
        <v>0</v>
      </c>
      <c r="G205" s="51">
        <v>0</v>
      </c>
    </row>
    <row r="206" spans="2:7" x14ac:dyDescent="0.3">
      <c r="B206" s="49">
        <v>171</v>
      </c>
      <c r="C206" s="35"/>
      <c r="D206" s="77">
        <f t="shared" si="24"/>
        <v>0</v>
      </c>
      <c r="F206" s="49">
        <v>0</v>
      </c>
      <c r="G206" s="51">
        <v>0</v>
      </c>
    </row>
    <row r="207" spans="2:7" x14ac:dyDescent="0.3">
      <c r="B207" s="49">
        <v>172</v>
      </c>
      <c r="C207" s="35"/>
      <c r="D207" s="77">
        <f t="shared" si="24"/>
        <v>0</v>
      </c>
      <c r="F207" s="49">
        <v>0</v>
      </c>
      <c r="G207" s="51">
        <v>0</v>
      </c>
    </row>
    <row r="208" spans="2:7" x14ac:dyDescent="0.3">
      <c r="B208" s="78">
        <v>173</v>
      </c>
      <c r="C208" s="35"/>
      <c r="D208" s="77">
        <f t="shared" si="24"/>
        <v>0</v>
      </c>
      <c r="F208" s="49">
        <v>0</v>
      </c>
      <c r="G208" s="51">
        <v>0</v>
      </c>
    </row>
    <row r="209" spans="2:7" x14ac:dyDescent="0.3">
      <c r="B209" s="49">
        <v>174</v>
      </c>
      <c r="C209" s="35"/>
      <c r="D209" s="77">
        <f t="shared" si="24"/>
        <v>0</v>
      </c>
      <c r="F209" s="49">
        <v>0</v>
      </c>
      <c r="G209" s="51">
        <v>0</v>
      </c>
    </row>
    <row r="210" spans="2:7" x14ac:dyDescent="0.3">
      <c r="B210" s="49">
        <v>175</v>
      </c>
      <c r="C210" s="35"/>
      <c r="D210" s="77">
        <f t="shared" si="24"/>
        <v>0</v>
      </c>
      <c r="F210" s="49">
        <v>0</v>
      </c>
      <c r="G210" s="51">
        <v>0</v>
      </c>
    </row>
    <row r="211" spans="2:7" x14ac:dyDescent="0.3">
      <c r="B211" s="78">
        <v>176</v>
      </c>
      <c r="C211" s="35"/>
      <c r="D211" s="77">
        <f t="shared" si="24"/>
        <v>0</v>
      </c>
      <c r="F211" s="49">
        <v>0</v>
      </c>
      <c r="G211" s="51">
        <v>0</v>
      </c>
    </row>
    <row r="212" spans="2:7" x14ac:dyDescent="0.3">
      <c r="B212" s="49">
        <v>177</v>
      </c>
      <c r="C212" s="35"/>
      <c r="D212" s="77">
        <f t="shared" si="24"/>
        <v>0</v>
      </c>
      <c r="F212" s="49">
        <v>0</v>
      </c>
      <c r="G212" s="51">
        <v>0</v>
      </c>
    </row>
    <row r="213" spans="2:7" x14ac:dyDescent="0.3">
      <c r="B213" s="49">
        <v>178</v>
      </c>
      <c r="C213" s="35"/>
      <c r="D213" s="77">
        <f t="shared" si="24"/>
        <v>0</v>
      </c>
      <c r="F213" s="49">
        <v>0</v>
      </c>
      <c r="G213" s="51">
        <v>0</v>
      </c>
    </row>
    <row r="214" spans="2:7" x14ac:dyDescent="0.3">
      <c r="B214" s="49">
        <v>179</v>
      </c>
      <c r="C214" s="35"/>
      <c r="D214" s="77">
        <f t="shared" si="24"/>
        <v>0</v>
      </c>
      <c r="F214" s="49">
        <v>0</v>
      </c>
      <c r="G214" s="51">
        <v>0</v>
      </c>
    </row>
    <row r="215" spans="2:7" x14ac:dyDescent="0.3">
      <c r="B215" s="49">
        <v>180</v>
      </c>
      <c r="C215" s="35"/>
      <c r="D215" s="77">
        <f t="shared" si="24"/>
        <v>0</v>
      </c>
      <c r="F215" s="49">
        <v>0</v>
      </c>
      <c r="G215" s="51">
        <v>0</v>
      </c>
    </row>
    <row r="216" spans="2:7" x14ac:dyDescent="0.3">
      <c r="B216" s="49">
        <v>181</v>
      </c>
      <c r="C216" s="35"/>
      <c r="D216" s="77">
        <f t="shared" si="24"/>
        <v>0</v>
      </c>
      <c r="F216" s="49">
        <v>0</v>
      </c>
      <c r="G216" s="51">
        <v>0</v>
      </c>
    </row>
    <row r="217" spans="2:7" x14ac:dyDescent="0.3">
      <c r="B217" s="49">
        <v>182</v>
      </c>
      <c r="C217" s="35"/>
      <c r="D217" s="77">
        <f t="shared" si="24"/>
        <v>0</v>
      </c>
      <c r="F217" s="49">
        <v>0</v>
      </c>
      <c r="G217" s="51">
        <v>0</v>
      </c>
    </row>
    <row r="218" spans="2:7" x14ac:dyDescent="0.3">
      <c r="B218" s="49">
        <v>183</v>
      </c>
      <c r="C218" s="35"/>
      <c r="D218" s="77">
        <f t="shared" si="24"/>
        <v>0</v>
      </c>
      <c r="F218" s="49">
        <v>0</v>
      </c>
      <c r="G218" s="51">
        <v>0</v>
      </c>
    </row>
    <row r="219" spans="2:7" x14ac:dyDescent="0.3">
      <c r="B219" s="49">
        <v>184</v>
      </c>
      <c r="C219" s="35"/>
      <c r="D219" s="77">
        <f t="shared" si="24"/>
        <v>0</v>
      </c>
      <c r="F219" s="49">
        <v>0</v>
      </c>
      <c r="G219" s="51">
        <v>0</v>
      </c>
    </row>
    <row r="220" spans="2:7" x14ac:dyDescent="0.3">
      <c r="B220" s="49">
        <v>185</v>
      </c>
      <c r="C220" s="35"/>
      <c r="D220" s="77">
        <f t="shared" si="24"/>
        <v>0</v>
      </c>
      <c r="F220" s="49">
        <v>0</v>
      </c>
      <c r="G220" s="51">
        <v>0</v>
      </c>
    </row>
    <row r="221" spans="2:7" x14ac:dyDescent="0.3">
      <c r="B221" s="49">
        <v>186</v>
      </c>
      <c r="C221" s="35"/>
      <c r="D221" s="77">
        <f t="shared" si="24"/>
        <v>0</v>
      </c>
      <c r="F221" s="49">
        <v>0</v>
      </c>
      <c r="G221" s="51">
        <v>0</v>
      </c>
    </row>
    <row r="222" spans="2:7" x14ac:dyDescent="0.3">
      <c r="B222" s="49">
        <v>187</v>
      </c>
      <c r="C222" s="35"/>
      <c r="D222" s="77">
        <f t="shared" si="24"/>
        <v>0</v>
      </c>
      <c r="F222" s="49">
        <v>0</v>
      </c>
      <c r="G222" s="51">
        <v>0</v>
      </c>
    </row>
    <row r="223" spans="2:7" x14ac:dyDescent="0.3">
      <c r="B223" s="49">
        <v>188</v>
      </c>
      <c r="C223" s="35"/>
      <c r="D223" s="77">
        <f t="shared" si="24"/>
        <v>0</v>
      </c>
      <c r="F223" s="49">
        <v>0</v>
      </c>
      <c r="G223" s="51">
        <v>0</v>
      </c>
    </row>
    <row r="224" spans="2:7" x14ac:dyDescent="0.3">
      <c r="B224" s="49">
        <v>189</v>
      </c>
      <c r="C224" s="35"/>
      <c r="D224" s="77">
        <f t="shared" si="24"/>
        <v>0</v>
      </c>
      <c r="F224" s="49">
        <v>0</v>
      </c>
      <c r="G224" s="51">
        <v>0</v>
      </c>
    </row>
    <row r="225" spans="2:7" x14ac:dyDescent="0.3">
      <c r="B225" s="49">
        <v>190</v>
      </c>
      <c r="C225" s="35"/>
      <c r="D225" s="77">
        <f t="shared" si="24"/>
        <v>0</v>
      </c>
      <c r="F225" s="49">
        <v>0</v>
      </c>
      <c r="G225" s="51">
        <v>0</v>
      </c>
    </row>
    <row r="226" spans="2:7" x14ac:dyDescent="0.3">
      <c r="B226" s="49">
        <v>191</v>
      </c>
      <c r="C226" s="35"/>
      <c r="D226" s="77">
        <f t="shared" si="24"/>
        <v>0</v>
      </c>
      <c r="F226" s="49">
        <v>0</v>
      </c>
      <c r="G226" s="51">
        <v>0</v>
      </c>
    </row>
    <row r="227" spans="2:7" x14ac:dyDescent="0.3">
      <c r="B227" s="49">
        <v>192</v>
      </c>
      <c r="C227" s="35"/>
      <c r="D227" s="77">
        <f t="shared" si="24"/>
        <v>0</v>
      </c>
      <c r="F227" s="49">
        <v>0</v>
      </c>
      <c r="G227" s="51">
        <v>0</v>
      </c>
    </row>
    <row r="228" spans="2:7" x14ac:dyDescent="0.3">
      <c r="B228" s="49">
        <v>193</v>
      </c>
      <c r="C228" s="35"/>
      <c r="D228" s="77">
        <f t="shared" si="24"/>
        <v>0</v>
      </c>
      <c r="F228" s="49">
        <v>0</v>
      </c>
      <c r="G228" s="51">
        <v>0</v>
      </c>
    </row>
    <row r="229" spans="2:7" x14ac:dyDescent="0.3">
      <c r="B229" s="49">
        <v>194</v>
      </c>
      <c r="C229" s="35"/>
      <c r="D229" s="77">
        <f t="shared" ref="D229:D272" si="25">_xlfn.IFNA(VLOOKUP(C229,$I$4:$L$30,4,FALSE),0)+_xlfn.IFNA(VLOOKUP(C229,$C$4:$F$28,4,FALSE),0)+_xlfn.IFNA(VLOOKUP(C229,$U$4:$X$30,4,FALSE),0)+_xlfn.IFNA(VLOOKUP(C229,$O$4:$R$30,4,FALSE),0)+_xlfn.IFNA(VLOOKUP(C229,$AA$4:$AD$30,4,FALSE),0)+_xlfn.IFNA(VLOOKUP(C229,$AG$4:$AJ$30,4,FALSE),0)+_xlfn.IFNA(VLOOKUP(C229,$AM$4:$AP$30,4,FALSE),0)+_xlfn.IFNA(VLOOKUP(C229,$AS$4:$AV$30,4,FALSE),0)+_xlfn.IFNA(VLOOKUP(C229,$AY$4:$BB$30,4,FALSE),0)+_xlfn.IFNA(VLOOKUP(C229,$BE$4:$BH$29,4,FALSE),0)+_xlfn.IFNA(VLOOKUP(C229,$BK$4:$BN$31,4,FALSE),0)+_xlfn.IFNA(VLOOKUP(C229,$BQ$4:$BT$32,4,FALSE),0)+_xlfn.IFNA(VLOOKUP(C229,$BW$4:$BZ$32,4,FALSE),0)+_xlfn.IFNA(VLOOKUP(C229,$CC$4:$CF$32,4,FALSE),0)+_xlfn.IFNA(VLOOKUP(C229,$CI$4:$CL$32,4,FALSE),0)+_xlfn.IFNA(VLOOKUP(C229,$CO$4:$CR$32,4,FALSE),0)+_xlfn.IFNA(VLOOKUP(C229,$CU$4:$CX$32,4,FALSE),0)+_xlfn.IFNA(VLOOKUP(C229,$DA$4:$DD$32,4,FALSE),0)+_xlfn.IFNA(VLOOKUP(C229,$DG$4:$DJ$32,4,FALSE),0)+_xlfn.IFNA(VLOOKUP(C229,$DM$4:$DP$32,4,FALSE),0)</f>
        <v>0</v>
      </c>
      <c r="F229" s="49">
        <v>0</v>
      </c>
      <c r="G229" s="51">
        <v>0</v>
      </c>
    </row>
    <row r="230" spans="2:7" x14ac:dyDescent="0.3">
      <c r="B230" s="49">
        <v>195</v>
      </c>
      <c r="C230" s="35"/>
      <c r="D230" s="77">
        <f t="shared" si="25"/>
        <v>0</v>
      </c>
      <c r="F230" s="49">
        <v>0</v>
      </c>
      <c r="G230" s="51">
        <v>0</v>
      </c>
    </row>
    <row r="231" spans="2:7" x14ac:dyDescent="0.3">
      <c r="B231" s="49">
        <v>196</v>
      </c>
      <c r="C231" s="35"/>
      <c r="D231" s="77">
        <f t="shared" si="25"/>
        <v>0</v>
      </c>
      <c r="F231" s="49">
        <v>0</v>
      </c>
      <c r="G231" s="51">
        <v>0</v>
      </c>
    </row>
    <row r="232" spans="2:7" x14ac:dyDescent="0.3">
      <c r="B232" s="49">
        <v>197</v>
      </c>
      <c r="C232" s="35"/>
      <c r="D232" s="77">
        <f t="shared" si="25"/>
        <v>0</v>
      </c>
      <c r="F232" s="49">
        <v>0</v>
      </c>
      <c r="G232" s="51">
        <v>0</v>
      </c>
    </row>
    <row r="233" spans="2:7" x14ac:dyDescent="0.3">
      <c r="B233" s="49">
        <v>198</v>
      </c>
      <c r="C233" s="35"/>
      <c r="D233" s="77">
        <f t="shared" si="25"/>
        <v>0</v>
      </c>
      <c r="F233" s="49">
        <v>0</v>
      </c>
      <c r="G233" s="51">
        <v>0</v>
      </c>
    </row>
    <row r="234" spans="2:7" x14ac:dyDescent="0.3">
      <c r="B234" s="49">
        <v>199</v>
      </c>
      <c r="C234" s="35"/>
      <c r="D234" s="77">
        <f t="shared" si="25"/>
        <v>0</v>
      </c>
      <c r="F234" s="49">
        <v>0</v>
      </c>
      <c r="G234" s="51">
        <v>0</v>
      </c>
    </row>
    <row r="235" spans="2:7" ht="15" thickBot="1" x14ac:dyDescent="0.35">
      <c r="B235" s="50">
        <v>200</v>
      </c>
      <c r="C235" s="35"/>
      <c r="D235" s="77">
        <f t="shared" si="25"/>
        <v>0</v>
      </c>
      <c r="F235" s="50">
        <v>0</v>
      </c>
      <c r="G235" s="52">
        <v>0</v>
      </c>
    </row>
    <row r="236" spans="2:7" x14ac:dyDescent="0.3">
      <c r="B236" s="49">
        <v>201</v>
      </c>
      <c r="C236" s="35"/>
      <c r="D236" s="77">
        <f t="shared" si="25"/>
        <v>0</v>
      </c>
      <c r="F236">
        <v>0</v>
      </c>
      <c r="G236">
        <v>0</v>
      </c>
    </row>
    <row r="237" spans="2:7" x14ac:dyDescent="0.3">
      <c r="B237" s="49">
        <v>202</v>
      </c>
      <c r="C237" s="35"/>
      <c r="D237" s="77">
        <f t="shared" si="25"/>
        <v>0</v>
      </c>
      <c r="F237">
        <v>0</v>
      </c>
      <c r="G237">
        <v>0</v>
      </c>
    </row>
    <row r="238" spans="2:7" x14ac:dyDescent="0.3">
      <c r="B238" s="49">
        <v>203</v>
      </c>
      <c r="C238" s="35"/>
      <c r="D238" s="77">
        <f t="shared" si="25"/>
        <v>0</v>
      </c>
      <c r="F238">
        <v>0</v>
      </c>
      <c r="G238">
        <v>0</v>
      </c>
    </row>
    <row r="239" spans="2:7" x14ac:dyDescent="0.3">
      <c r="B239" s="49">
        <v>204</v>
      </c>
      <c r="C239" s="35"/>
      <c r="D239" s="77">
        <f t="shared" si="25"/>
        <v>0</v>
      </c>
      <c r="F239">
        <v>0</v>
      </c>
      <c r="G239">
        <v>0</v>
      </c>
    </row>
    <row r="240" spans="2:7" x14ac:dyDescent="0.3">
      <c r="B240" s="49">
        <v>205</v>
      </c>
      <c r="C240" s="35"/>
      <c r="D240" s="77">
        <f t="shared" si="25"/>
        <v>0</v>
      </c>
      <c r="F240">
        <v>0</v>
      </c>
      <c r="G240">
        <v>0</v>
      </c>
    </row>
    <row r="241" spans="2:7" x14ac:dyDescent="0.3">
      <c r="B241" s="49">
        <v>206</v>
      </c>
      <c r="C241" s="35"/>
      <c r="D241" s="77">
        <f t="shared" si="25"/>
        <v>0</v>
      </c>
      <c r="F241">
        <v>0</v>
      </c>
      <c r="G241">
        <v>0</v>
      </c>
    </row>
    <row r="242" spans="2:7" x14ac:dyDescent="0.3">
      <c r="B242" s="49">
        <v>207</v>
      </c>
      <c r="C242" s="35"/>
      <c r="D242" s="77">
        <f t="shared" si="25"/>
        <v>0</v>
      </c>
      <c r="F242">
        <v>0</v>
      </c>
      <c r="G242">
        <v>0</v>
      </c>
    </row>
    <row r="243" spans="2:7" x14ac:dyDescent="0.3">
      <c r="B243" s="49">
        <v>208</v>
      </c>
      <c r="C243" s="35"/>
      <c r="D243" s="77">
        <f t="shared" si="25"/>
        <v>0</v>
      </c>
      <c r="F243">
        <v>0</v>
      </c>
      <c r="G243">
        <v>0</v>
      </c>
    </row>
    <row r="244" spans="2:7" x14ac:dyDescent="0.3">
      <c r="B244" s="49">
        <v>209</v>
      </c>
      <c r="C244" s="35"/>
      <c r="D244" s="77">
        <f t="shared" si="25"/>
        <v>0</v>
      </c>
      <c r="F244">
        <v>0</v>
      </c>
      <c r="G244">
        <v>0</v>
      </c>
    </row>
    <row r="245" spans="2:7" x14ac:dyDescent="0.3">
      <c r="B245" s="49">
        <v>210</v>
      </c>
      <c r="C245" s="35"/>
      <c r="D245" s="77">
        <f t="shared" si="25"/>
        <v>0</v>
      </c>
      <c r="F245">
        <v>0</v>
      </c>
      <c r="G245">
        <v>0</v>
      </c>
    </row>
    <row r="246" spans="2:7" x14ac:dyDescent="0.3">
      <c r="B246" s="49">
        <v>211</v>
      </c>
      <c r="C246" s="35"/>
      <c r="D246" s="77">
        <f t="shared" si="25"/>
        <v>0</v>
      </c>
      <c r="F246">
        <v>0</v>
      </c>
      <c r="G246">
        <v>0</v>
      </c>
    </row>
    <row r="247" spans="2:7" x14ac:dyDescent="0.3">
      <c r="B247" s="49">
        <v>212</v>
      </c>
      <c r="C247" s="35"/>
      <c r="D247" s="77">
        <f t="shared" si="25"/>
        <v>0</v>
      </c>
      <c r="F247">
        <v>0</v>
      </c>
      <c r="G247">
        <v>0</v>
      </c>
    </row>
    <row r="248" spans="2:7" x14ac:dyDescent="0.3">
      <c r="B248" s="49">
        <v>213</v>
      </c>
      <c r="C248" s="35"/>
      <c r="D248" s="77">
        <f t="shared" si="25"/>
        <v>0</v>
      </c>
      <c r="F248">
        <v>0</v>
      </c>
      <c r="G248">
        <v>0</v>
      </c>
    </row>
    <row r="249" spans="2:7" x14ac:dyDescent="0.3">
      <c r="B249" s="49">
        <v>214</v>
      </c>
      <c r="C249" s="35"/>
      <c r="D249" s="77">
        <f t="shared" si="25"/>
        <v>0</v>
      </c>
      <c r="F249">
        <v>0</v>
      </c>
      <c r="G249">
        <v>0</v>
      </c>
    </row>
    <row r="250" spans="2:7" x14ac:dyDescent="0.3">
      <c r="B250" s="49">
        <v>215</v>
      </c>
      <c r="C250" s="35"/>
      <c r="D250" s="77">
        <f t="shared" si="25"/>
        <v>0</v>
      </c>
      <c r="F250">
        <v>0</v>
      </c>
      <c r="G250">
        <v>0</v>
      </c>
    </row>
    <row r="251" spans="2:7" x14ac:dyDescent="0.3">
      <c r="B251" s="49">
        <v>216</v>
      </c>
      <c r="C251" s="35"/>
      <c r="D251" s="77">
        <f t="shared" si="25"/>
        <v>0</v>
      </c>
      <c r="F251">
        <v>0</v>
      </c>
      <c r="G251">
        <v>0</v>
      </c>
    </row>
    <row r="252" spans="2:7" x14ac:dyDescent="0.3">
      <c r="B252" s="49">
        <v>217</v>
      </c>
      <c r="C252" s="35"/>
      <c r="D252" s="77">
        <f t="shared" si="25"/>
        <v>0</v>
      </c>
      <c r="F252">
        <v>0</v>
      </c>
      <c r="G252">
        <v>0</v>
      </c>
    </row>
    <row r="253" spans="2:7" x14ac:dyDescent="0.3">
      <c r="B253" s="49">
        <v>218</v>
      </c>
      <c r="C253" s="35"/>
      <c r="D253" s="77">
        <f t="shared" si="25"/>
        <v>0</v>
      </c>
      <c r="F253">
        <v>0</v>
      </c>
      <c r="G253">
        <v>0</v>
      </c>
    </row>
    <row r="254" spans="2:7" ht="15" thickBot="1" x14ac:dyDescent="0.35">
      <c r="B254" s="50">
        <v>219</v>
      </c>
      <c r="C254" s="35"/>
      <c r="D254" s="77">
        <f t="shared" si="25"/>
        <v>0</v>
      </c>
      <c r="F254">
        <v>0</v>
      </c>
      <c r="G254">
        <v>0</v>
      </c>
    </row>
    <row r="255" spans="2:7" x14ac:dyDescent="0.3">
      <c r="B255" s="49">
        <v>220</v>
      </c>
      <c r="C255" s="35"/>
      <c r="D255" s="77">
        <f t="shared" si="25"/>
        <v>0</v>
      </c>
      <c r="F255">
        <v>0</v>
      </c>
      <c r="G255">
        <v>0</v>
      </c>
    </row>
    <row r="256" spans="2:7" x14ac:dyDescent="0.3">
      <c r="B256" s="49">
        <v>221</v>
      </c>
      <c r="C256" s="35"/>
      <c r="D256" s="77">
        <f t="shared" si="25"/>
        <v>0</v>
      </c>
      <c r="F256">
        <v>0</v>
      </c>
      <c r="G256">
        <v>0</v>
      </c>
    </row>
    <row r="257" spans="2:7" x14ac:dyDescent="0.3">
      <c r="B257" s="49">
        <v>222</v>
      </c>
      <c r="C257" s="35"/>
      <c r="D257" s="77">
        <f t="shared" si="25"/>
        <v>0</v>
      </c>
      <c r="F257">
        <v>0</v>
      </c>
      <c r="G257">
        <v>0</v>
      </c>
    </row>
    <row r="258" spans="2:7" x14ac:dyDescent="0.3">
      <c r="B258" s="49">
        <v>223</v>
      </c>
      <c r="C258" s="35"/>
      <c r="D258" s="77">
        <f t="shared" si="25"/>
        <v>0</v>
      </c>
      <c r="F258">
        <v>0</v>
      </c>
      <c r="G258">
        <v>0</v>
      </c>
    </row>
    <row r="259" spans="2:7" x14ac:dyDescent="0.3">
      <c r="B259" s="49">
        <v>224</v>
      </c>
      <c r="D259" s="77">
        <f t="shared" si="25"/>
        <v>0</v>
      </c>
      <c r="F259">
        <v>0</v>
      </c>
      <c r="G259">
        <v>0</v>
      </c>
    </row>
    <row r="260" spans="2:7" ht="15" thickBot="1" x14ac:dyDescent="0.35">
      <c r="B260" s="50">
        <v>225</v>
      </c>
      <c r="D260" s="77">
        <f t="shared" si="25"/>
        <v>0</v>
      </c>
      <c r="F260">
        <v>0</v>
      </c>
      <c r="G260">
        <v>0</v>
      </c>
    </row>
    <row r="261" spans="2:7" x14ac:dyDescent="0.3">
      <c r="B261" s="49">
        <v>226</v>
      </c>
      <c r="D261" s="77">
        <f t="shared" si="25"/>
        <v>0</v>
      </c>
      <c r="F261">
        <v>0</v>
      </c>
      <c r="G261">
        <v>0</v>
      </c>
    </row>
    <row r="262" spans="2:7" x14ac:dyDescent="0.3">
      <c r="B262" s="49">
        <v>227</v>
      </c>
      <c r="D262" s="77">
        <f t="shared" si="25"/>
        <v>0</v>
      </c>
      <c r="F262">
        <v>0</v>
      </c>
      <c r="G262">
        <v>0</v>
      </c>
    </row>
    <row r="263" spans="2:7" x14ac:dyDescent="0.3">
      <c r="B263" s="49">
        <v>228</v>
      </c>
      <c r="D263" s="77">
        <f t="shared" si="25"/>
        <v>0</v>
      </c>
      <c r="F263">
        <v>0</v>
      </c>
      <c r="G263">
        <v>0</v>
      </c>
    </row>
    <row r="264" spans="2:7" x14ac:dyDescent="0.3">
      <c r="B264" s="49">
        <v>229</v>
      </c>
      <c r="D264" s="77">
        <f t="shared" si="25"/>
        <v>0</v>
      </c>
      <c r="F264">
        <v>0</v>
      </c>
      <c r="G264">
        <v>0</v>
      </c>
    </row>
    <row r="265" spans="2:7" x14ac:dyDescent="0.3">
      <c r="B265" s="49">
        <v>230</v>
      </c>
      <c r="D265" s="77">
        <f t="shared" si="25"/>
        <v>0</v>
      </c>
      <c r="F265">
        <v>0</v>
      </c>
      <c r="G265">
        <v>0</v>
      </c>
    </row>
    <row r="266" spans="2:7" ht="15" thickBot="1" x14ac:dyDescent="0.35">
      <c r="B266" s="50">
        <v>231</v>
      </c>
      <c r="D266" s="77">
        <f t="shared" si="25"/>
        <v>0</v>
      </c>
      <c r="F266">
        <v>0</v>
      </c>
      <c r="G266">
        <v>0</v>
      </c>
    </row>
    <row r="267" spans="2:7" x14ac:dyDescent="0.3">
      <c r="B267" s="49">
        <v>232</v>
      </c>
      <c r="D267" s="77">
        <f t="shared" si="25"/>
        <v>0</v>
      </c>
      <c r="F267">
        <v>0</v>
      </c>
      <c r="G267">
        <v>0</v>
      </c>
    </row>
    <row r="268" spans="2:7" x14ac:dyDescent="0.3">
      <c r="B268" s="49">
        <v>233</v>
      </c>
      <c r="D268" s="77">
        <f t="shared" si="25"/>
        <v>0</v>
      </c>
      <c r="F268">
        <v>0</v>
      </c>
      <c r="G268">
        <v>0</v>
      </c>
    </row>
    <row r="269" spans="2:7" x14ac:dyDescent="0.3">
      <c r="B269" s="49">
        <v>234</v>
      </c>
      <c r="D269" s="77">
        <f t="shared" si="25"/>
        <v>0</v>
      </c>
      <c r="F269">
        <v>0</v>
      </c>
      <c r="G269">
        <v>0</v>
      </c>
    </row>
    <row r="270" spans="2:7" x14ac:dyDescent="0.3">
      <c r="B270" s="49">
        <v>235</v>
      </c>
      <c r="D270" s="77">
        <f t="shared" si="25"/>
        <v>0</v>
      </c>
      <c r="F270">
        <v>0</v>
      </c>
      <c r="G270">
        <v>0</v>
      </c>
    </row>
    <row r="271" spans="2:7" x14ac:dyDescent="0.3">
      <c r="D271" s="77">
        <f t="shared" si="25"/>
        <v>0</v>
      </c>
      <c r="F271">
        <v>0</v>
      </c>
      <c r="G271">
        <v>0</v>
      </c>
    </row>
    <row r="272" spans="2:7" x14ac:dyDescent="0.3">
      <c r="D272" s="77">
        <f t="shared" si="25"/>
        <v>0</v>
      </c>
      <c r="F272">
        <v>0</v>
      </c>
      <c r="G272">
        <v>0</v>
      </c>
    </row>
    <row r="273" spans="4:7" x14ac:dyDescent="0.3">
      <c r="D273" s="77">
        <f t="shared" ref="D273:D278" si="26">_xlfn.IFNA(VLOOKUP(C273,$I$4:$L$30,4,FALSE),0)+_xlfn.IFNA(VLOOKUP(C273,$C$4:$F$28,4,FALSE),0)+_xlfn.IFNA(VLOOKUP(C273,$U$4:$X$30,4,FALSE),0)+_xlfn.IFNA(VLOOKUP(C273,$O$4:$R$30,4,FALSE),0)+_xlfn.IFNA(VLOOKUP(C273,$AA$4:$AD$30,4,FALSE),0)+_xlfn.IFNA(VLOOKUP(C273,$AG$4:$AJ$30,4,FALSE),0)+_xlfn.IFNA(VLOOKUP(C273,$AM$4:$AP$30,4,FALSE),0)+_xlfn.IFNA(VLOOKUP(C273,$AS$4:$AV$30,4,FALSE),0)+_xlfn.IFNA(VLOOKUP(C273,$AY$4:$BB$30,4,FALSE),0)+_xlfn.IFNA(VLOOKUP(C273,$BE$4:$BH$29,4,FALSE),0)+_xlfn.IFNA(VLOOKUP(C273,$BK$4:$BN$31,4,FALSE),0)+_xlfn.IFNA(VLOOKUP(C273,$BQ$4:$BT$32,4,FALSE),0)+_xlfn.IFNA(VLOOKUP(C273,$BW$4:$BZ$28,4,FALSE),0)+_xlfn.IFNA(VLOOKUP(C273,$CC$4:$CF$28,4,FALSE),0)+_xlfn.IFNA(VLOOKUP(C273,$CI$4:$CL$28,4,FALSE),0)+_xlfn.IFNA(VLOOKUP(C273,$CO$4:$CR$28,4,FALSE),0)+_xlfn.IFNA(VLOOKUP(C273,$CU$4:$CX$28,4,FALSE),0)+_xlfn.IFNA(VLOOKUP(C273,$DA$4:$DD$28,4,FALSE),0)+_xlfn.IFNA(VLOOKUP(C273,$DG$4:$DJ$28,4,FALSE),0)</f>
        <v>0</v>
      </c>
      <c r="F273">
        <v>0</v>
      </c>
      <c r="G273">
        <v>0</v>
      </c>
    </row>
    <row r="274" spans="4:7" x14ac:dyDescent="0.3">
      <c r="D274" s="77">
        <f t="shared" si="26"/>
        <v>0</v>
      </c>
      <c r="F274">
        <v>0</v>
      </c>
      <c r="G274">
        <v>0</v>
      </c>
    </row>
    <row r="275" spans="4:7" x14ac:dyDescent="0.3">
      <c r="D275" s="77">
        <f t="shared" si="26"/>
        <v>0</v>
      </c>
      <c r="F275">
        <v>0</v>
      </c>
      <c r="G275">
        <v>0</v>
      </c>
    </row>
    <row r="276" spans="4:7" x14ac:dyDescent="0.3">
      <c r="D276" s="77">
        <f t="shared" si="26"/>
        <v>0</v>
      </c>
      <c r="F276">
        <v>0</v>
      </c>
      <c r="G276">
        <v>0</v>
      </c>
    </row>
    <row r="277" spans="4:7" x14ac:dyDescent="0.3">
      <c r="D277" s="77">
        <f t="shared" si="26"/>
        <v>0</v>
      </c>
      <c r="F277">
        <v>0</v>
      </c>
      <c r="G277">
        <v>0</v>
      </c>
    </row>
    <row r="278" spans="4:7" x14ac:dyDescent="0.3">
      <c r="D278" s="77">
        <f t="shared" si="26"/>
        <v>0</v>
      </c>
      <c r="F278">
        <v>0</v>
      </c>
      <c r="G278">
        <v>0</v>
      </c>
    </row>
    <row r="279" spans="4:7" x14ac:dyDescent="0.3">
      <c r="D279" s="77">
        <f t="shared" ref="D279:D288" si="27">_xlfn.IFNA(VLOOKUP(C279,$I$4:$L$30,4,FALSE),0)+_xlfn.IFNA(VLOOKUP(C279,$C$4:$F$28,4,FALSE),0)+_xlfn.IFNA(VLOOKUP(C279,$U$4:$X$30,4,FALSE),0)+_xlfn.IFNA(VLOOKUP(C279,$O$4:$R$30,4,FALSE),0)+_xlfn.IFNA(VLOOKUP(C279,$AA$4:$AD$30,4,FALSE),0)+_xlfn.IFNA(VLOOKUP(C279,$AG$4:$AJ$30,4,FALSE),0)+_xlfn.IFNA(VLOOKUP(C279,$AM$4:$AP$30,4,FALSE),0)+_xlfn.IFNA(VLOOKUP(C279,$AS$4:$AV$30,4,FALSE),0)+_xlfn.IFNA(VLOOKUP(C279,$AY$4:$BB$30,4,FALSE),0)+_xlfn.IFNA(VLOOKUP(C279,$BE$4:$BH$29,4,FALSE),0)+_xlfn.IFNA(VLOOKUP(C279,$BK$4:$BN$31,4,FALSE),0)+_xlfn.IFNA(VLOOKUP(C279,$BQ$4:$BT$28,4,FALSE),0)+_xlfn.IFNA(VLOOKUP(C279,$BW$4:$BZ$28,4,FALSE),0)+_xlfn.IFNA(VLOOKUP(C279,$CC$4:$CF$28,4,FALSE),0)+_xlfn.IFNA(VLOOKUP(C279,$CI$4:$CL$28,4,FALSE),0)+_xlfn.IFNA(VLOOKUP(C279,$CO$4:$CR$28,4,FALSE),0)+_xlfn.IFNA(VLOOKUP(C279,$CU$4:$CX$28,4,FALSE),0)+_xlfn.IFNA(VLOOKUP(C279,$DA$4:$DD$28,4,FALSE),0)+_xlfn.IFNA(VLOOKUP(C279,$DG$4:$DJ$28,4,FALSE),0)</f>
        <v>0</v>
      </c>
      <c r="F279">
        <v>0</v>
      </c>
      <c r="G279">
        <v>0</v>
      </c>
    </row>
    <row r="280" spans="4:7" x14ac:dyDescent="0.3">
      <c r="D280" s="77">
        <f t="shared" si="27"/>
        <v>0</v>
      </c>
      <c r="F280">
        <v>0</v>
      </c>
      <c r="G280">
        <v>0</v>
      </c>
    </row>
    <row r="281" spans="4:7" x14ac:dyDescent="0.3">
      <c r="D281" s="77">
        <f t="shared" si="27"/>
        <v>0</v>
      </c>
      <c r="F281">
        <v>0</v>
      </c>
      <c r="G281">
        <v>0</v>
      </c>
    </row>
    <row r="282" spans="4:7" x14ac:dyDescent="0.3">
      <c r="D282" s="77">
        <f t="shared" si="27"/>
        <v>0</v>
      </c>
      <c r="F282">
        <v>0</v>
      </c>
      <c r="G282">
        <v>0</v>
      </c>
    </row>
    <row r="283" spans="4:7" x14ac:dyDescent="0.3">
      <c r="D283" s="77">
        <f t="shared" si="27"/>
        <v>0</v>
      </c>
      <c r="F283">
        <v>0</v>
      </c>
      <c r="G283">
        <v>0</v>
      </c>
    </row>
    <row r="284" spans="4:7" x14ac:dyDescent="0.3">
      <c r="D284" s="77">
        <f t="shared" si="27"/>
        <v>0</v>
      </c>
      <c r="F284">
        <v>0</v>
      </c>
      <c r="G284">
        <v>0</v>
      </c>
    </row>
    <row r="285" spans="4:7" x14ac:dyDescent="0.3">
      <c r="D285" s="77">
        <f t="shared" si="27"/>
        <v>0</v>
      </c>
      <c r="F285">
        <v>0</v>
      </c>
      <c r="G285">
        <v>0</v>
      </c>
    </row>
    <row r="286" spans="4:7" x14ac:dyDescent="0.3">
      <c r="D286" s="77">
        <f t="shared" si="27"/>
        <v>0</v>
      </c>
      <c r="F286">
        <v>0</v>
      </c>
      <c r="G286">
        <v>0</v>
      </c>
    </row>
    <row r="287" spans="4:7" x14ac:dyDescent="0.3">
      <c r="D287" s="77">
        <f t="shared" si="27"/>
        <v>0</v>
      </c>
      <c r="F287">
        <v>0</v>
      </c>
      <c r="G287">
        <v>0</v>
      </c>
    </row>
    <row r="288" spans="4:7" x14ac:dyDescent="0.3">
      <c r="D288" s="77">
        <f t="shared" si="27"/>
        <v>0</v>
      </c>
      <c r="F288">
        <v>0</v>
      </c>
      <c r="G288">
        <v>0</v>
      </c>
    </row>
    <row r="289" spans="4:7" x14ac:dyDescent="0.3">
      <c r="D289" s="77">
        <f t="shared" ref="D289:D292" si="28">_xlfn.IFNA(VLOOKUP(C289,$I$4:$L$30,4,FALSE),0)+_xlfn.IFNA(VLOOKUP(C289,$C$4:$F$28,4,FALSE),0)+_xlfn.IFNA(VLOOKUP(C289,$U$4:$X$30,4,FALSE),0)+_xlfn.IFNA(VLOOKUP(C289,$O$4:$R$30,4,FALSE),0)+_xlfn.IFNA(VLOOKUP(C289,$AA$4:$AD$30,4,FALSE),0)+_xlfn.IFNA(VLOOKUP(C289,$AG$4:$AJ$30,4,FALSE),0)+_xlfn.IFNA(VLOOKUP(C289,$AM$4:$AP$30,4,FALSE),0)+_xlfn.IFNA(VLOOKUP(C289,$AS$4:$AV$30,4,FALSE),0)+_xlfn.IFNA(VLOOKUP(C289,$AY$4:$BB$30,4,FALSE),0)+_xlfn.IFNA(VLOOKUP(C289,$BE$4:$BH$28,4,FALSE),0)+_xlfn.IFNA(VLOOKUP(C289,$BK$4:$BN$28,4,FALSE),0)+_xlfn.IFNA(VLOOKUP(C289,$BQ$4:$BT$28,4,FALSE),0)+_xlfn.IFNA(VLOOKUP(C289,$BW$4:$BZ$28,4,FALSE),0)+_xlfn.IFNA(VLOOKUP(C289,$CC$4:$CF$28,4,FALSE),0)+_xlfn.IFNA(VLOOKUP(C289,$CI$4:$CL$28,4,FALSE),0)+_xlfn.IFNA(VLOOKUP(C289,$CO$4:$CR$28,4,FALSE),0)+_xlfn.IFNA(VLOOKUP(C289,$CU$4:$CX$28,4,FALSE),0)+_xlfn.IFNA(VLOOKUP(C289,$DA$4:$DD$28,4,FALSE),0)+_xlfn.IFNA(VLOOKUP(C289,$DG$4:$DJ$28,4,FALSE),0)</f>
        <v>0</v>
      </c>
      <c r="F289">
        <v>0</v>
      </c>
      <c r="G289">
        <v>0</v>
      </c>
    </row>
    <row r="290" spans="4:7" x14ac:dyDescent="0.3">
      <c r="D290" s="77">
        <f t="shared" si="28"/>
        <v>0</v>
      </c>
      <c r="F290">
        <v>0</v>
      </c>
      <c r="G290">
        <v>0</v>
      </c>
    </row>
    <row r="291" spans="4:7" x14ac:dyDescent="0.3">
      <c r="D291" s="77">
        <f t="shared" si="28"/>
        <v>0</v>
      </c>
      <c r="F291">
        <v>0</v>
      </c>
      <c r="G291">
        <v>0</v>
      </c>
    </row>
    <row r="292" spans="4:7" x14ac:dyDescent="0.3">
      <c r="D292" s="77">
        <f t="shared" si="28"/>
        <v>0</v>
      </c>
      <c r="F292">
        <v>0</v>
      </c>
      <c r="G292">
        <v>0</v>
      </c>
    </row>
    <row r="293" spans="4:7" x14ac:dyDescent="0.3">
      <c r="D293" s="77">
        <f t="shared" ref="D293:D303" si="29">_xlfn.IFNA(VLOOKUP(C293,$I$4:$L$30,4,FALSE),0)+_xlfn.IFNA(VLOOKUP(C293,$C$4:$F$28,4,FALSE),0)+_xlfn.IFNA(VLOOKUP(C293,$U$4:$X$30,4,FALSE),0)+_xlfn.IFNA(VLOOKUP(C293,$O$4:$R$30,4,FALSE),0)+_xlfn.IFNA(VLOOKUP(C293,$AA$4:$AD$30,4,FALSE),0)+_xlfn.IFNA(VLOOKUP(C293,$AG$4:$AJ$30,4,FALSE),0)+_xlfn.IFNA(VLOOKUP(C293,$AM$4:$AP$30,4,FALSE),0)+_xlfn.IFNA(VLOOKUP(C293,$AS$4:$AV$30,4,FALSE),0)+_xlfn.IFNA(VLOOKUP(C293,$AY$4:$BB$30,4,FALSE),0)+_xlfn.IFNA(VLOOKUP(C293,$BE$4:$BH$28,4,FALSE),0)+_xlfn.IFNA(VLOOKUP(C293,$BK$4:$BN$28,4,FALSE),0)+_xlfn.IFNA(VLOOKUP(C293,$BQ$4:$BT$28,4,FALSE),0)+_xlfn.IFNA(VLOOKUP(C293,$BW$4:$BZ$28,4,FALSE),0)+_xlfn.IFNA(VLOOKUP(C293,$CC$4:$CF$28,4,FALSE),0)+_xlfn.IFNA(VLOOKUP(C293,$CI$4:$CL$28,4,FALSE),0)+_xlfn.IFNA(VLOOKUP(C293,$CO$4:$CR$28,4,FALSE),0)+_xlfn.IFNA(VLOOKUP(C293,$CU$4:$CX$28,4,FALSE),0)+_xlfn.IFNA(VLOOKUP(C293,$DA$4:$DD$28,4,FALSE),0)+_xlfn.IFNA(VLOOKUP(C293,$DG$4:$DJ$28,4,FALSE),0)</f>
        <v>0</v>
      </c>
      <c r="F293">
        <v>0</v>
      </c>
      <c r="G293">
        <v>0</v>
      </c>
    </row>
    <row r="294" spans="4:7" x14ac:dyDescent="0.3">
      <c r="D294" s="77">
        <f t="shared" si="29"/>
        <v>0</v>
      </c>
      <c r="F294">
        <v>0</v>
      </c>
      <c r="G294">
        <v>0</v>
      </c>
    </row>
    <row r="295" spans="4:7" x14ac:dyDescent="0.3">
      <c r="D295" s="77">
        <f t="shared" si="29"/>
        <v>0</v>
      </c>
      <c r="F295">
        <v>0</v>
      </c>
      <c r="G295">
        <v>0</v>
      </c>
    </row>
    <row r="296" spans="4:7" x14ac:dyDescent="0.3">
      <c r="D296" s="77">
        <f t="shared" si="29"/>
        <v>0</v>
      </c>
      <c r="F296">
        <v>0</v>
      </c>
      <c r="G296">
        <v>0</v>
      </c>
    </row>
    <row r="297" spans="4:7" x14ac:dyDescent="0.3">
      <c r="D297" s="77">
        <f t="shared" si="29"/>
        <v>0</v>
      </c>
      <c r="F297">
        <v>0</v>
      </c>
      <c r="G297">
        <v>0</v>
      </c>
    </row>
    <row r="298" spans="4:7" x14ac:dyDescent="0.3">
      <c r="D298" s="77">
        <f t="shared" si="29"/>
        <v>0</v>
      </c>
      <c r="F298">
        <v>0</v>
      </c>
      <c r="G298">
        <v>0</v>
      </c>
    </row>
    <row r="299" spans="4:7" x14ac:dyDescent="0.3">
      <c r="D299" s="77">
        <f t="shared" si="29"/>
        <v>0</v>
      </c>
      <c r="F299">
        <v>0</v>
      </c>
      <c r="G299">
        <v>0</v>
      </c>
    </row>
    <row r="300" spans="4:7" x14ac:dyDescent="0.3">
      <c r="D300" s="77">
        <f t="shared" si="29"/>
        <v>0</v>
      </c>
      <c r="F300">
        <v>0</v>
      </c>
      <c r="G300">
        <v>0</v>
      </c>
    </row>
    <row r="301" spans="4:7" x14ac:dyDescent="0.3">
      <c r="D301" s="77">
        <f t="shared" si="29"/>
        <v>0</v>
      </c>
      <c r="F301">
        <v>0</v>
      </c>
      <c r="G301">
        <v>0</v>
      </c>
    </row>
    <row r="302" spans="4:7" x14ac:dyDescent="0.3">
      <c r="D302" s="77">
        <f t="shared" si="29"/>
        <v>0</v>
      </c>
      <c r="F302">
        <v>0</v>
      </c>
      <c r="G302">
        <v>0</v>
      </c>
    </row>
    <row r="303" spans="4:7" x14ac:dyDescent="0.3">
      <c r="D303" s="77">
        <f t="shared" si="29"/>
        <v>0</v>
      </c>
      <c r="F303">
        <v>0</v>
      </c>
      <c r="G303">
        <v>0</v>
      </c>
    </row>
  </sheetData>
  <mergeCells count="22">
    <mergeCell ref="DF1:DG1"/>
    <mergeCell ref="CZ1:DA1"/>
    <mergeCell ref="DL1:DM1"/>
    <mergeCell ref="DR1:DS1"/>
    <mergeCell ref="B34:E34"/>
    <mergeCell ref="N1:O1"/>
    <mergeCell ref="T1:U1"/>
    <mergeCell ref="AR1:AS1"/>
    <mergeCell ref="AL1:AM1"/>
    <mergeCell ref="AF1:AG1"/>
    <mergeCell ref="Z1:AA1"/>
    <mergeCell ref="B1:C1"/>
    <mergeCell ref="H1:I1"/>
    <mergeCell ref="BD1:BE1"/>
    <mergeCell ref="CT1:CU1"/>
    <mergeCell ref="CN1:CO1"/>
    <mergeCell ref="CH1:CI1"/>
    <mergeCell ref="AX1:AY1"/>
    <mergeCell ref="CB1:CC1"/>
    <mergeCell ref="BV1:BW1"/>
    <mergeCell ref="BP1:BQ1"/>
    <mergeCell ref="BJ1:BK1"/>
  </mergeCell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77" id="{2F8D3B79-5A9F-47EE-BF57-93F21BDAB69D}">
            <xm:f>ISNUMBER(MATCH(C4,'TOUR PUNTEN'!$G$3:$G$22,0))</xm:f>
            <x14:dxf>
              <fill>
                <patternFill>
                  <bgColor rgb="FFCC99FF"/>
                </patternFill>
              </fill>
            </x14:dxf>
          </x14:cfRule>
          <x14:cfRule type="expression" priority="378" id="{8E24D79F-06BA-44EE-A619-EC70BA51B5F6}">
            <xm:f>ISNUMBER(MATCH(C4,'TOUR PUNTEN'!$F$3:$F$22,0))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379" id="{2C27BDD7-09ED-4F8A-A923-D65F68C20230}">
            <xm:f>ISNUMBER(MATCH(C4,'TOUR PUNTEN'!$D$3:$D$22,0))</xm:f>
            <x14:dxf>
              <fill>
                <patternFill>
                  <bgColor theme="4" tint="0.39994506668294322"/>
                </patternFill>
              </fill>
            </x14:dxf>
          </x14:cfRule>
          <x14:cfRule type="expression" priority="380" id="{4FE9659F-95B8-4D8E-A699-27E9467324BB}">
            <xm:f>ISNUMBER(MATCH(C4,'TOUR PUNTEN'!$E$3:$E$22,0))</xm:f>
            <x14:dxf>
              <fill>
                <patternFill>
                  <bgColor theme="5" tint="0.39994506668294322"/>
                </patternFill>
              </fill>
            </x14:dxf>
          </x14:cfRule>
          <xm:sqref>C4:C28 I4:I28 O4:O28 U4:U28 AA4:AA28 AG4:AG28 AM4:AM28 AS4:AS28 AY4:AY28 BE4:BE28 BK4:BK28 BQ4:BQ28 BW4:BW28 CC4:CC28 CI4:CI28 CO4:CO28 CU4:CU28 DA4:DA28 DG4:DG28 DM4:DM28 DS4:DS28 CI45:CI69</xm:sqref>
        </x14:conditionalFormatting>
        <x14:conditionalFormatting xmlns:xm="http://schemas.microsoft.com/office/excel/2006/main">
          <x14:cfRule type="expression" priority="195" id="{59E18898-25D2-4AEA-89F3-3A9845213F03}">
            <xm:f>ISNUMBER(MATCH(O37,'TOUR PUNTEN'!$F$3:$F$22,0))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196" id="{969BC910-C9B3-43D8-8271-4CD4E0251DA1}">
            <xm:f>ISNUMBER(MATCH(O37,'TOUR PUNTEN'!$G$3:$G$22,0))</xm:f>
            <x14:dxf>
              <fill>
                <patternFill>
                  <bgColor rgb="FFCC99FF"/>
                </patternFill>
              </fill>
            </x14:dxf>
          </x14:cfRule>
          <xm:sqref>O37:O53 O55</xm:sqref>
        </x14:conditionalFormatting>
        <x14:conditionalFormatting xmlns:xm="http://schemas.microsoft.com/office/excel/2006/main">
          <x14:cfRule type="expression" priority="191" id="{2B6A853F-AF61-4DA4-9584-5F014FB8EFB5}">
            <xm:f>ISNUMBER(MATCH(O37,'TOUR PUNTEN'!$D$3:$D$22,0))</xm:f>
            <x14:dxf>
              <fill>
                <patternFill>
                  <bgColor theme="4" tint="0.39994506668294322"/>
                </patternFill>
              </fill>
            </x14:dxf>
          </x14:cfRule>
          <x14:cfRule type="expression" priority="192" id="{4A0CEAC4-46B4-46F8-B4BE-B763682A3518}">
            <xm:f>ISNUMBER(MATCH(O37,'TOUR PUNTEN'!$E$3:$E$22,0))</xm:f>
            <x14:dxf>
              <fill>
                <patternFill>
                  <bgColor theme="5" tint="0.39994506668294322"/>
                </patternFill>
              </fill>
            </x14:dxf>
          </x14:cfRule>
          <xm:sqref>O37:O55</xm:sqref>
        </x14:conditionalFormatting>
        <x14:conditionalFormatting xmlns:xm="http://schemas.microsoft.com/office/excel/2006/main">
          <x14:cfRule type="expression" priority="189" id="{E2E5FD7B-A7D8-4E78-B6B7-0EC74431CBA2}">
            <xm:f>ISNUMBER(MATCH(O54,'TOUR PUNTEN'!$G$3:$G$22,0))</xm:f>
            <x14:dxf>
              <fill>
                <patternFill>
                  <bgColor rgb="FFCC99FF"/>
                </patternFill>
              </fill>
            </x14:dxf>
          </x14:cfRule>
          <x14:cfRule type="expression" priority="190" id="{8E0026AA-2F26-41B0-AA7F-FC7B6C66E325}">
            <xm:f>ISNUMBER(MATCH(O54,'TOUR PUNTEN'!$F$3:$F$22,0))</xm:f>
            <x14:dxf>
              <fill>
                <patternFill>
                  <bgColor theme="9" tint="0.39994506668294322"/>
                </patternFill>
              </fill>
            </x14:dxf>
          </x14:cfRule>
          <xm:sqref>O54</xm:sqref>
        </x14:conditionalFormatting>
        <x14:conditionalFormatting xmlns:xm="http://schemas.microsoft.com/office/excel/2006/main">
          <x14:cfRule type="expression" priority="186" id="{BEE5636B-E70C-459B-825F-CCF26D2BD065}">
            <xm:f>ISNUMBER(MATCH(O56,'TOUR PUNTEN'!$F$3:$F$22,0))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187" id="{60632EBC-722D-4B29-881A-8760CC32C152}">
            <xm:f>ISNUMBER(MATCH(O56,'TOUR PUNTEN'!$D$3:$D$22,0))</xm:f>
            <x14:dxf>
              <fill>
                <patternFill>
                  <bgColor theme="4" tint="0.39994506668294322"/>
                </patternFill>
              </fill>
            </x14:dxf>
          </x14:cfRule>
          <x14:cfRule type="expression" priority="188" id="{42A838FC-56BE-4129-B293-941DB8A7817B}">
            <xm:f>ISNUMBER(MATCH(O56,'TOUR PUNTEN'!$E$3:$E$22,0))</xm:f>
            <x14:dxf>
              <fill>
                <patternFill>
                  <bgColor theme="5" tint="0.39994506668294322"/>
                </patternFill>
              </fill>
            </x14:dxf>
          </x14:cfRule>
          <xm:sqref>O56</xm:sqref>
        </x14:conditionalFormatting>
        <x14:conditionalFormatting xmlns:xm="http://schemas.microsoft.com/office/excel/2006/main">
          <x14:cfRule type="expression" priority="184" id="{A3F6245F-10A8-4F17-A679-6EF909BABB60}">
            <xm:f>ISNUMBER(MATCH(O56,'TOUR PUNTEN'!$G$3:$G$22,0))</xm:f>
            <x14:dxf>
              <fill>
                <patternFill>
                  <bgColor rgb="FFCC99FF"/>
                </patternFill>
              </fill>
            </x14:dxf>
          </x14:cfRule>
          <xm:sqref>O56:O58</xm:sqref>
        </x14:conditionalFormatting>
        <x14:conditionalFormatting xmlns:xm="http://schemas.microsoft.com/office/excel/2006/main">
          <x14:cfRule type="expression" priority="181" id="{DC8CFD27-5015-4F27-907C-970E5C923773}">
            <xm:f>ISNUMBER(MATCH(O57,'TOUR PUNTEN'!$D$3:$D$22,0))</xm:f>
            <x14:dxf>
              <fill>
                <patternFill>
                  <bgColor theme="4" tint="0.39994506668294322"/>
                </patternFill>
              </fill>
            </x14:dxf>
          </x14:cfRule>
          <x14:cfRule type="expression" priority="182" id="{F209889B-5682-4EB3-BAA2-E654E0FD8F2A}">
            <xm:f>ISNUMBER(MATCH(O57,'TOUR PUNTEN'!$E$3:$E$22,0))</xm:f>
            <x14:dxf>
              <fill>
                <patternFill>
                  <bgColor theme="5" tint="0.39994506668294322"/>
                </patternFill>
              </fill>
            </x14:dxf>
          </x14:cfRule>
          <x14:cfRule type="expression" priority="183" id="{323C7943-0543-452E-BFBC-7C084E52404C}">
            <xm:f>ISNUMBER(MATCH(O57,'TOUR PUNTEN'!$F$3:$F$22,0))</xm:f>
            <x14:dxf>
              <fill>
                <patternFill>
                  <bgColor theme="9" tint="0.39994506668294322"/>
                </patternFill>
              </fill>
            </x14:dxf>
          </x14:cfRule>
          <xm:sqref>O57:O58</xm:sqref>
        </x14:conditionalFormatting>
        <x14:conditionalFormatting xmlns:xm="http://schemas.microsoft.com/office/excel/2006/main">
          <x14:cfRule type="expression" priority="373" id="{224039EA-1879-405D-8901-12B8BDE96397}">
            <xm:f>ISNUMBER(MATCH(C36,'TOUR PUNTEN'!$D$3:$D$22,0))</xm:f>
            <x14:dxf>
              <fill>
                <patternFill>
                  <bgColor theme="4" tint="0.39994506668294322"/>
                </patternFill>
              </fill>
            </x14:dxf>
          </x14:cfRule>
          <x14:cfRule type="expression" priority="374" id="{17B1012F-BBDB-4C9F-BF7D-2F219990B0D1}">
            <xm:f>ISNUMBER(MATCH(C36,'TOUR PUNTEN'!$E$3:$E$22,0))</xm:f>
            <x14:dxf>
              <fill>
                <patternFill>
                  <bgColor theme="5" tint="0.39994506668294322"/>
                </patternFill>
              </fill>
            </x14:dxf>
          </x14:cfRule>
          <x14:cfRule type="expression" priority="375" id="{3276C7FA-12F4-4427-84CB-D4BB109ECC0B}">
            <xm:f>ISNUMBER(MATCH(C36,'TOUR PUNTEN'!$F$3:$F$22,0))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376" id="{A0978D54-4454-4CE7-8B77-33EE988FC793}">
            <xm:f>ISNUMBER(MATCH(C36,'TOUR PUNTEN'!$G$3:$G$22,0))</xm:f>
            <x14:dxf>
              <fill>
                <patternFill>
                  <bgColor rgb="FFCC99FF"/>
                </patternFill>
              </fill>
            </x14:dxf>
          </x14:cfRule>
          <xm:sqref>R36 C36:C283 F36:F283 R42 R48 O60 O65:O75 O78:O88 O91:O100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53262-CC0D-47F9-804F-254526E0F97C}">
  <dimension ref="A1"/>
  <sheetViews>
    <sheetView workbookViewId="0">
      <selection activeCell="R12" sqref="R1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D2A1-4708-4EE1-82C6-3E415114EB83}">
  <dimension ref="A3:T290"/>
  <sheetViews>
    <sheetView topLeftCell="A189" workbookViewId="0">
      <selection activeCell="G19" sqref="G19"/>
    </sheetView>
  </sheetViews>
  <sheetFormatPr defaultRowHeight="14.4" x14ac:dyDescent="0.3"/>
  <cols>
    <col min="1" max="1" width="22.33203125" customWidth="1"/>
    <col min="2" max="2" width="17.6640625" bestFit="1" customWidth="1"/>
    <col min="3" max="6" width="10.6640625" customWidth="1"/>
    <col min="9" max="9" width="17.6640625" bestFit="1" customWidth="1"/>
    <col min="10" max="13" width="10.6640625" customWidth="1"/>
    <col min="16" max="16" width="17.6640625" bestFit="1" customWidth="1"/>
    <col min="17" max="20" width="10.6640625" customWidth="1"/>
  </cols>
  <sheetData>
    <row r="3" spans="1:20" x14ac:dyDescent="0.3">
      <c r="A3" s="104" t="s">
        <v>82</v>
      </c>
    </row>
    <row r="4" spans="1:20" ht="72" x14ac:dyDescent="0.3">
      <c r="A4" s="105" t="s">
        <v>83</v>
      </c>
    </row>
    <row r="5" spans="1:20" ht="15" thickBot="1" x14ac:dyDescent="0.35"/>
    <row r="6" spans="1:20" ht="15" thickBot="1" x14ac:dyDescent="0.35">
      <c r="B6" s="86" t="s">
        <v>75</v>
      </c>
      <c r="C6" s="87" t="s">
        <v>76</v>
      </c>
      <c r="D6" s="87" t="s">
        <v>78</v>
      </c>
      <c r="E6" s="87" t="s">
        <v>77</v>
      </c>
      <c r="F6" s="88" t="s">
        <v>79</v>
      </c>
      <c r="I6" s="86" t="s">
        <v>75</v>
      </c>
      <c r="J6" s="87" t="s">
        <v>76</v>
      </c>
      <c r="K6" s="87" t="s">
        <v>78</v>
      </c>
      <c r="L6" s="87" t="s">
        <v>77</v>
      </c>
      <c r="M6" s="88" t="s">
        <v>79</v>
      </c>
      <c r="P6" s="86" t="s">
        <v>75</v>
      </c>
      <c r="Q6" s="87" t="s">
        <v>76</v>
      </c>
      <c r="R6" s="87" t="s">
        <v>78</v>
      </c>
      <c r="S6" s="87" t="s">
        <v>77</v>
      </c>
      <c r="T6" s="88" t="s">
        <v>79</v>
      </c>
    </row>
    <row r="7" spans="1:20" x14ac:dyDescent="0.3">
      <c r="B7" s="99" t="s">
        <v>13</v>
      </c>
      <c r="C7" s="106">
        <v>20</v>
      </c>
      <c r="D7" s="107">
        <v>10</v>
      </c>
      <c r="E7" s="108">
        <v>10</v>
      </c>
      <c r="F7" s="109">
        <v>5</v>
      </c>
      <c r="I7" s="99" t="s">
        <v>13</v>
      </c>
      <c r="J7" s="106">
        <v>10</v>
      </c>
      <c r="K7" s="107">
        <v>10</v>
      </c>
      <c r="L7" s="108">
        <v>10</v>
      </c>
      <c r="M7" s="109">
        <v>10</v>
      </c>
      <c r="P7" s="99" t="s">
        <v>13</v>
      </c>
      <c r="Q7" s="106">
        <v>12</v>
      </c>
      <c r="R7" s="107">
        <v>10</v>
      </c>
      <c r="S7" s="108">
        <v>10</v>
      </c>
      <c r="T7" s="109">
        <v>10</v>
      </c>
    </row>
    <row r="8" spans="1:20" x14ac:dyDescent="0.3">
      <c r="B8" s="100" t="s">
        <v>14</v>
      </c>
      <c r="C8" s="110">
        <v>20</v>
      </c>
      <c r="D8" s="111">
        <v>10</v>
      </c>
      <c r="E8" s="112">
        <v>10</v>
      </c>
      <c r="F8" s="113">
        <v>5</v>
      </c>
      <c r="I8" s="100" t="s">
        <v>14</v>
      </c>
      <c r="J8" s="110">
        <v>10</v>
      </c>
      <c r="K8" s="111">
        <v>10</v>
      </c>
      <c r="L8" s="112">
        <v>10</v>
      </c>
      <c r="M8" s="113">
        <v>10</v>
      </c>
      <c r="P8" s="100" t="s">
        <v>14</v>
      </c>
      <c r="Q8" s="110">
        <v>12</v>
      </c>
      <c r="R8" s="111">
        <v>10</v>
      </c>
      <c r="S8" s="112">
        <v>10</v>
      </c>
      <c r="T8" s="113">
        <v>10</v>
      </c>
    </row>
    <row r="9" spans="1:20" x14ac:dyDescent="0.3">
      <c r="B9" s="100" t="s">
        <v>15</v>
      </c>
      <c r="C9" s="110">
        <v>20</v>
      </c>
      <c r="D9" s="111">
        <v>10</v>
      </c>
      <c r="E9" s="112">
        <v>10</v>
      </c>
      <c r="F9" s="113">
        <v>5</v>
      </c>
      <c r="I9" s="100" t="s">
        <v>15</v>
      </c>
      <c r="J9" s="110">
        <v>10</v>
      </c>
      <c r="K9" s="111">
        <v>10</v>
      </c>
      <c r="L9" s="112">
        <v>10</v>
      </c>
      <c r="M9" s="113">
        <v>10</v>
      </c>
      <c r="P9" s="100" t="s">
        <v>15</v>
      </c>
      <c r="Q9" s="110">
        <v>12</v>
      </c>
      <c r="R9" s="111">
        <v>10</v>
      </c>
      <c r="S9" s="112">
        <v>10</v>
      </c>
      <c r="T9" s="113">
        <v>10</v>
      </c>
    </row>
    <row r="10" spans="1:20" x14ac:dyDescent="0.3">
      <c r="B10" s="100" t="s">
        <v>16</v>
      </c>
      <c r="C10" s="110">
        <v>20</v>
      </c>
      <c r="D10" s="111">
        <v>10</v>
      </c>
      <c r="E10" s="112">
        <v>10</v>
      </c>
      <c r="F10" s="113">
        <v>5</v>
      </c>
      <c r="I10" s="100" t="s">
        <v>16</v>
      </c>
      <c r="J10" s="110">
        <v>10</v>
      </c>
      <c r="K10" s="111">
        <v>10</v>
      </c>
      <c r="L10" s="112">
        <v>10</v>
      </c>
      <c r="M10" s="113">
        <v>10</v>
      </c>
      <c r="P10" s="100" t="s">
        <v>16</v>
      </c>
      <c r="Q10" s="110">
        <v>12</v>
      </c>
      <c r="R10" s="111">
        <v>10</v>
      </c>
      <c r="S10" s="112">
        <v>10</v>
      </c>
      <c r="T10" s="113">
        <v>10</v>
      </c>
    </row>
    <row r="11" spans="1:20" x14ac:dyDescent="0.3">
      <c r="B11" s="100" t="s">
        <v>17</v>
      </c>
      <c r="C11" s="110">
        <v>20</v>
      </c>
      <c r="D11" s="111">
        <v>10</v>
      </c>
      <c r="E11" s="112">
        <v>10</v>
      </c>
      <c r="F11" s="113">
        <v>5</v>
      </c>
      <c r="I11" s="100" t="s">
        <v>17</v>
      </c>
      <c r="J11" s="110">
        <v>10</v>
      </c>
      <c r="K11" s="111">
        <v>10</v>
      </c>
      <c r="L11" s="112">
        <v>10</v>
      </c>
      <c r="M11" s="113">
        <v>10</v>
      </c>
      <c r="P11" s="100" t="s">
        <v>17</v>
      </c>
      <c r="Q11" s="110">
        <v>12</v>
      </c>
      <c r="R11" s="111">
        <v>10</v>
      </c>
      <c r="S11" s="112">
        <v>10</v>
      </c>
      <c r="T11" s="113">
        <v>10</v>
      </c>
    </row>
    <row r="12" spans="1:20" x14ac:dyDescent="0.3">
      <c r="B12" s="100" t="s">
        <v>18</v>
      </c>
      <c r="C12" s="110">
        <v>20</v>
      </c>
      <c r="D12" s="111">
        <v>10</v>
      </c>
      <c r="E12" s="112">
        <v>10</v>
      </c>
      <c r="F12" s="113">
        <v>5</v>
      </c>
      <c r="I12" s="100" t="s">
        <v>18</v>
      </c>
      <c r="J12" s="110">
        <v>10</v>
      </c>
      <c r="K12" s="111">
        <v>10</v>
      </c>
      <c r="L12" s="112">
        <v>10</v>
      </c>
      <c r="M12" s="113">
        <v>10</v>
      </c>
      <c r="P12" s="100" t="s">
        <v>18</v>
      </c>
      <c r="Q12" s="110">
        <v>12</v>
      </c>
      <c r="R12" s="111">
        <v>10</v>
      </c>
      <c r="S12" s="112">
        <v>10</v>
      </c>
      <c r="T12" s="113">
        <v>10</v>
      </c>
    </row>
    <row r="13" spans="1:20" x14ac:dyDescent="0.3">
      <c r="B13" s="100" t="s">
        <v>19</v>
      </c>
      <c r="C13" s="110">
        <v>20</v>
      </c>
      <c r="D13" s="111">
        <v>10</v>
      </c>
      <c r="E13" s="112">
        <v>10</v>
      </c>
      <c r="F13" s="113">
        <v>5</v>
      </c>
      <c r="I13" s="100" t="s">
        <v>19</v>
      </c>
      <c r="J13" s="110">
        <v>10</v>
      </c>
      <c r="K13" s="111">
        <v>10</v>
      </c>
      <c r="L13" s="112">
        <v>10</v>
      </c>
      <c r="M13" s="113">
        <v>10</v>
      </c>
      <c r="P13" s="100" t="s">
        <v>19</v>
      </c>
      <c r="Q13" s="110">
        <v>12</v>
      </c>
      <c r="R13" s="111">
        <v>10</v>
      </c>
      <c r="S13" s="112">
        <v>10</v>
      </c>
      <c r="T13" s="113">
        <v>10</v>
      </c>
    </row>
    <row r="14" spans="1:20" x14ac:dyDescent="0.3">
      <c r="B14" s="100" t="s">
        <v>20</v>
      </c>
      <c r="C14" s="110">
        <v>20</v>
      </c>
      <c r="D14" s="111">
        <v>10</v>
      </c>
      <c r="E14" s="112">
        <v>10</v>
      </c>
      <c r="F14" s="113">
        <v>5</v>
      </c>
      <c r="I14" s="100" t="s">
        <v>20</v>
      </c>
      <c r="J14" s="110">
        <v>10</v>
      </c>
      <c r="K14" s="111">
        <v>10</v>
      </c>
      <c r="L14" s="112">
        <v>10</v>
      </c>
      <c r="M14" s="113">
        <v>10</v>
      </c>
      <c r="P14" s="100" t="s">
        <v>20</v>
      </c>
      <c r="Q14" s="110">
        <v>12</v>
      </c>
      <c r="R14" s="111">
        <v>10</v>
      </c>
      <c r="S14" s="112">
        <v>10</v>
      </c>
      <c r="T14" s="113">
        <v>10</v>
      </c>
    </row>
    <row r="15" spans="1:20" x14ac:dyDescent="0.3">
      <c r="B15" s="100" t="s">
        <v>21</v>
      </c>
      <c r="C15" s="110">
        <v>20</v>
      </c>
      <c r="D15" s="111">
        <v>10</v>
      </c>
      <c r="E15" s="112">
        <v>10</v>
      </c>
      <c r="F15" s="113">
        <v>5</v>
      </c>
      <c r="I15" s="100" t="s">
        <v>21</v>
      </c>
      <c r="J15" s="110">
        <v>10</v>
      </c>
      <c r="K15" s="111">
        <v>10</v>
      </c>
      <c r="L15" s="112">
        <v>10</v>
      </c>
      <c r="M15" s="113">
        <v>10</v>
      </c>
      <c r="P15" s="100" t="s">
        <v>21</v>
      </c>
      <c r="Q15" s="110">
        <v>12</v>
      </c>
      <c r="R15" s="111">
        <v>10</v>
      </c>
      <c r="S15" s="112">
        <v>10</v>
      </c>
      <c r="T15" s="113">
        <v>10</v>
      </c>
    </row>
    <row r="16" spans="1:20" x14ac:dyDescent="0.3">
      <c r="B16" s="100" t="s">
        <v>22</v>
      </c>
      <c r="C16" s="110">
        <v>20</v>
      </c>
      <c r="D16" s="111">
        <v>10</v>
      </c>
      <c r="E16" s="112">
        <v>10</v>
      </c>
      <c r="F16" s="113">
        <v>5</v>
      </c>
      <c r="I16" s="100" t="s">
        <v>22</v>
      </c>
      <c r="J16" s="110">
        <v>10</v>
      </c>
      <c r="K16" s="111">
        <v>10</v>
      </c>
      <c r="L16" s="112">
        <v>10</v>
      </c>
      <c r="M16" s="113">
        <v>10</v>
      </c>
      <c r="P16" s="100" t="s">
        <v>22</v>
      </c>
      <c r="Q16" s="110">
        <v>12</v>
      </c>
      <c r="R16" s="111">
        <v>10</v>
      </c>
      <c r="S16" s="112">
        <v>10</v>
      </c>
      <c r="T16" s="113">
        <v>10</v>
      </c>
    </row>
    <row r="17" spans="2:20" x14ac:dyDescent="0.3">
      <c r="B17" s="100" t="s">
        <v>23</v>
      </c>
      <c r="C17" s="110">
        <v>20</v>
      </c>
      <c r="D17" s="111">
        <v>10</v>
      </c>
      <c r="E17" s="112">
        <v>10</v>
      </c>
      <c r="F17" s="113">
        <v>5</v>
      </c>
      <c r="I17" s="100" t="s">
        <v>23</v>
      </c>
      <c r="J17" s="110">
        <v>10</v>
      </c>
      <c r="K17" s="111">
        <v>10</v>
      </c>
      <c r="L17" s="112">
        <v>10</v>
      </c>
      <c r="M17" s="113">
        <v>10</v>
      </c>
      <c r="P17" s="100" t="s">
        <v>23</v>
      </c>
      <c r="Q17" s="110">
        <v>12</v>
      </c>
      <c r="R17" s="111">
        <v>10</v>
      </c>
      <c r="S17" s="112">
        <v>10</v>
      </c>
      <c r="T17" s="113">
        <v>10</v>
      </c>
    </row>
    <row r="18" spans="2:20" x14ac:dyDescent="0.3">
      <c r="B18" s="100" t="s">
        <v>24</v>
      </c>
      <c r="C18" s="110">
        <v>20</v>
      </c>
      <c r="D18" s="111">
        <v>10</v>
      </c>
      <c r="E18" s="112">
        <v>10</v>
      </c>
      <c r="F18" s="113">
        <v>5</v>
      </c>
      <c r="I18" s="100" t="s">
        <v>24</v>
      </c>
      <c r="J18" s="110">
        <v>10</v>
      </c>
      <c r="K18" s="111">
        <v>10</v>
      </c>
      <c r="L18" s="112">
        <v>10</v>
      </c>
      <c r="M18" s="113">
        <v>10</v>
      </c>
      <c r="P18" s="100" t="s">
        <v>24</v>
      </c>
      <c r="Q18" s="110">
        <v>12</v>
      </c>
      <c r="R18" s="111">
        <v>10</v>
      </c>
      <c r="S18" s="112">
        <v>10</v>
      </c>
      <c r="T18" s="113">
        <v>10</v>
      </c>
    </row>
    <row r="19" spans="2:20" x14ac:dyDescent="0.3">
      <c r="B19" s="100" t="s">
        <v>25</v>
      </c>
      <c r="C19" s="110">
        <v>20</v>
      </c>
      <c r="D19" s="111">
        <v>10</v>
      </c>
      <c r="E19" s="112">
        <v>10</v>
      </c>
      <c r="F19" s="113">
        <v>5</v>
      </c>
      <c r="I19" s="100" t="s">
        <v>25</v>
      </c>
      <c r="J19" s="110">
        <v>10</v>
      </c>
      <c r="K19" s="111">
        <v>10</v>
      </c>
      <c r="L19" s="112">
        <v>10</v>
      </c>
      <c r="M19" s="113">
        <v>10</v>
      </c>
      <c r="P19" s="100" t="s">
        <v>25</v>
      </c>
      <c r="Q19" s="110">
        <v>12</v>
      </c>
      <c r="R19" s="111">
        <v>10</v>
      </c>
      <c r="S19" s="112">
        <v>10</v>
      </c>
      <c r="T19" s="113">
        <v>10</v>
      </c>
    </row>
    <row r="20" spans="2:20" x14ac:dyDescent="0.3">
      <c r="B20" s="100" t="s">
        <v>26</v>
      </c>
      <c r="C20" s="110">
        <v>20</v>
      </c>
      <c r="D20" s="111">
        <v>10</v>
      </c>
      <c r="E20" s="112">
        <v>10</v>
      </c>
      <c r="F20" s="113">
        <v>5</v>
      </c>
      <c r="I20" s="100" t="s">
        <v>26</v>
      </c>
      <c r="J20" s="110">
        <v>10</v>
      </c>
      <c r="K20" s="111">
        <v>10</v>
      </c>
      <c r="L20" s="112">
        <v>10</v>
      </c>
      <c r="M20" s="113">
        <v>10</v>
      </c>
      <c r="P20" s="100" t="s">
        <v>26</v>
      </c>
      <c r="Q20" s="110">
        <v>12</v>
      </c>
      <c r="R20" s="111">
        <v>10</v>
      </c>
      <c r="S20" s="112">
        <v>10</v>
      </c>
      <c r="T20" s="113">
        <v>10</v>
      </c>
    </row>
    <row r="21" spans="2:20" x14ac:dyDescent="0.3">
      <c r="B21" s="100" t="s">
        <v>27</v>
      </c>
      <c r="C21" s="110">
        <v>20</v>
      </c>
      <c r="D21" s="111">
        <v>10</v>
      </c>
      <c r="E21" s="112">
        <v>10</v>
      </c>
      <c r="F21" s="113">
        <v>5</v>
      </c>
      <c r="I21" s="100" t="s">
        <v>27</v>
      </c>
      <c r="J21" s="110">
        <v>10</v>
      </c>
      <c r="K21" s="111">
        <v>10</v>
      </c>
      <c r="L21" s="112">
        <v>10</v>
      </c>
      <c r="M21" s="113">
        <v>10</v>
      </c>
      <c r="P21" s="100" t="s">
        <v>27</v>
      </c>
      <c r="Q21" s="110">
        <v>12</v>
      </c>
      <c r="R21" s="111">
        <v>10</v>
      </c>
      <c r="S21" s="112">
        <v>10</v>
      </c>
      <c r="T21" s="113">
        <v>10</v>
      </c>
    </row>
    <row r="22" spans="2:20" x14ac:dyDescent="0.3">
      <c r="B22" s="100" t="s">
        <v>28</v>
      </c>
      <c r="C22" s="110">
        <v>20</v>
      </c>
      <c r="D22" s="111">
        <v>10</v>
      </c>
      <c r="E22" s="112">
        <v>10</v>
      </c>
      <c r="F22" s="113">
        <v>5</v>
      </c>
      <c r="I22" s="100" t="s">
        <v>28</v>
      </c>
      <c r="J22" s="110">
        <v>10</v>
      </c>
      <c r="K22" s="111">
        <v>10</v>
      </c>
      <c r="L22" s="112">
        <v>10</v>
      </c>
      <c r="M22" s="113">
        <v>10</v>
      </c>
      <c r="P22" s="100" t="s">
        <v>28</v>
      </c>
      <c r="Q22" s="110">
        <v>12</v>
      </c>
      <c r="R22" s="111">
        <v>10</v>
      </c>
      <c r="S22" s="112">
        <v>10</v>
      </c>
      <c r="T22" s="113">
        <v>10</v>
      </c>
    </row>
    <row r="23" spans="2:20" x14ac:dyDescent="0.3">
      <c r="B23" s="100" t="s">
        <v>29</v>
      </c>
      <c r="C23" s="110">
        <v>20</v>
      </c>
      <c r="D23" s="111">
        <v>10</v>
      </c>
      <c r="E23" s="112">
        <v>10</v>
      </c>
      <c r="F23" s="113">
        <v>5</v>
      </c>
      <c r="I23" s="100" t="s">
        <v>29</v>
      </c>
      <c r="J23" s="110">
        <v>10</v>
      </c>
      <c r="K23" s="111">
        <v>10</v>
      </c>
      <c r="L23" s="112">
        <v>10</v>
      </c>
      <c r="M23" s="113">
        <v>10</v>
      </c>
      <c r="P23" s="100" t="s">
        <v>29</v>
      </c>
      <c r="Q23" s="110">
        <v>12</v>
      </c>
      <c r="R23" s="111">
        <v>10</v>
      </c>
      <c r="S23" s="112">
        <v>10</v>
      </c>
      <c r="T23" s="113">
        <v>10</v>
      </c>
    </row>
    <row r="24" spans="2:20" x14ac:dyDescent="0.3">
      <c r="B24" s="100" t="s">
        <v>30</v>
      </c>
      <c r="C24" s="110">
        <v>20</v>
      </c>
      <c r="D24" s="111">
        <v>10</v>
      </c>
      <c r="E24" s="112">
        <v>10</v>
      </c>
      <c r="F24" s="113">
        <v>5</v>
      </c>
      <c r="I24" s="100" t="s">
        <v>30</v>
      </c>
      <c r="J24" s="110">
        <v>10</v>
      </c>
      <c r="K24" s="111">
        <v>10</v>
      </c>
      <c r="L24" s="112">
        <v>10</v>
      </c>
      <c r="M24" s="113">
        <v>10</v>
      </c>
      <c r="P24" s="100" t="s">
        <v>30</v>
      </c>
      <c r="Q24" s="110">
        <v>12</v>
      </c>
      <c r="R24" s="111">
        <v>10</v>
      </c>
      <c r="S24" s="112">
        <v>10</v>
      </c>
      <c r="T24" s="113">
        <v>10</v>
      </c>
    </row>
    <row r="25" spans="2:20" x14ac:dyDescent="0.3">
      <c r="B25" s="100" t="s">
        <v>32</v>
      </c>
      <c r="C25" s="110">
        <v>20</v>
      </c>
      <c r="D25" s="111">
        <v>10</v>
      </c>
      <c r="E25" s="112">
        <v>10</v>
      </c>
      <c r="F25" s="113">
        <v>5</v>
      </c>
      <c r="I25" s="100" t="s">
        <v>32</v>
      </c>
      <c r="J25" s="110">
        <v>10</v>
      </c>
      <c r="K25" s="111">
        <v>10</v>
      </c>
      <c r="L25" s="112">
        <v>10</v>
      </c>
      <c r="M25" s="113">
        <v>10</v>
      </c>
      <c r="P25" s="100" t="s">
        <v>32</v>
      </c>
      <c r="Q25" s="110">
        <v>12</v>
      </c>
      <c r="R25" s="111">
        <v>10</v>
      </c>
      <c r="S25" s="112">
        <v>10</v>
      </c>
      <c r="T25" s="113">
        <v>10</v>
      </c>
    </row>
    <row r="26" spans="2:20" x14ac:dyDescent="0.3">
      <c r="B26" s="100" t="s">
        <v>34</v>
      </c>
      <c r="C26" s="110">
        <v>20</v>
      </c>
      <c r="D26" s="111">
        <v>10</v>
      </c>
      <c r="E26" s="112">
        <v>10</v>
      </c>
      <c r="F26" s="113">
        <v>5</v>
      </c>
      <c r="I26" s="100" t="s">
        <v>34</v>
      </c>
      <c r="J26" s="110">
        <v>10</v>
      </c>
      <c r="K26" s="111">
        <v>10</v>
      </c>
      <c r="L26" s="112">
        <v>10</v>
      </c>
      <c r="M26" s="113">
        <v>10</v>
      </c>
      <c r="P26" s="100" t="s">
        <v>34</v>
      </c>
      <c r="Q26" s="110">
        <v>12</v>
      </c>
      <c r="R26" s="111">
        <v>10</v>
      </c>
      <c r="S26" s="112">
        <v>10</v>
      </c>
      <c r="T26" s="113">
        <v>10</v>
      </c>
    </row>
    <row r="27" spans="2:20" ht="15" thickBot="1" x14ac:dyDescent="0.35">
      <c r="B27" s="101" t="s">
        <v>36</v>
      </c>
      <c r="C27" s="114">
        <v>20</v>
      </c>
      <c r="D27" s="115">
        <v>10</v>
      </c>
      <c r="E27" s="116">
        <v>10</v>
      </c>
      <c r="F27" s="117">
        <v>5</v>
      </c>
      <c r="I27" s="101" t="s">
        <v>36</v>
      </c>
      <c r="J27" s="114">
        <v>10</v>
      </c>
      <c r="K27" s="115">
        <v>10</v>
      </c>
      <c r="L27" s="116">
        <v>10</v>
      </c>
      <c r="M27" s="117">
        <v>10</v>
      </c>
      <c r="P27" s="101" t="s">
        <v>36</v>
      </c>
      <c r="Q27" s="114">
        <v>12</v>
      </c>
      <c r="R27" s="115">
        <v>10</v>
      </c>
      <c r="S27" s="116">
        <v>10</v>
      </c>
      <c r="T27" s="117">
        <v>10</v>
      </c>
    </row>
    <row r="28" spans="2:20" ht="15" thickBot="1" x14ac:dyDescent="0.35">
      <c r="C28" s="118"/>
      <c r="D28" s="118"/>
      <c r="E28" s="118"/>
      <c r="F28" s="118"/>
      <c r="J28" s="118"/>
      <c r="K28" s="118"/>
      <c r="L28" s="118"/>
      <c r="M28" s="118"/>
      <c r="Q28" s="118"/>
      <c r="R28" s="118"/>
      <c r="S28" s="118"/>
      <c r="T28" s="118"/>
    </row>
    <row r="29" spans="2:20" x14ac:dyDescent="0.3">
      <c r="B29" s="99" t="s">
        <v>80</v>
      </c>
      <c r="C29" s="119">
        <f>SUM(C7:C27)</f>
        <v>420</v>
      </c>
      <c r="D29" s="119">
        <f>SUM(D7:D27)</f>
        <v>210</v>
      </c>
      <c r="E29" s="120">
        <f>SUM(E7:E27)</f>
        <v>210</v>
      </c>
      <c r="F29" s="119">
        <f>SUM(F7:F27)</f>
        <v>105</v>
      </c>
      <c r="I29" s="99" t="s">
        <v>80</v>
      </c>
      <c r="J29" s="119">
        <f>SUM(J7:J27)</f>
        <v>210</v>
      </c>
      <c r="K29" s="119">
        <f>SUM(K7:K27)</f>
        <v>210</v>
      </c>
      <c r="L29" s="120">
        <f>SUM(L7:L27)</f>
        <v>210</v>
      </c>
      <c r="M29" s="119">
        <f>SUM(M7:M27)</f>
        <v>210</v>
      </c>
      <c r="P29" s="99" t="s">
        <v>80</v>
      </c>
      <c r="Q29" s="119">
        <f>SUM(Q7:Q27)</f>
        <v>252</v>
      </c>
      <c r="R29" s="119">
        <f>SUM(R7:R27)</f>
        <v>210</v>
      </c>
      <c r="S29" s="120">
        <f>SUM(S7:S27)</f>
        <v>210</v>
      </c>
      <c r="T29" s="119">
        <f>SUM(T7:T27)</f>
        <v>210</v>
      </c>
    </row>
    <row r="30" spans="2:20" x14ac:dyDescent="0.3">
      <c r="B30" s="100" t="s">
        <v>39</v>
      </c>
      <c r="C30" s="121">
        <v>300</v>
      </c>
      <c r="D30" s="121">
        <v>150</v>
      </c>
      <c r="E30" s="122">
        <v>100</v>
      </c>
      <c r="F30" s="121">
        <v>80</v>
      </c>
      <c r="I30" s="100" t="s">
        <v>39</v>
      </c>
      <c r="J30" s="121">
        <v>300</v>
      </c>
      <c r="K30" s="121">
        <v>150</v>
      </c>
      <c r="L30" s="122">
        <v>100</v>
      </c>
      <c r="M30" s="121">
        <v>80</v>
      </c>
      <c r="P30" s="100" t="s">
        <v>39</v>
      </c>
      <c r="Q30" s="121">
        <v>300</v>
      </c>
      <c r="R30" s="121">
        <v>150</v>
      </c>
      <c r="S30" s="122">
        <v>100</v>
      </c>
      <c r="T30" s="121">
        <v>80</v>
      </c>
    </row>
    <row r="31" spans="2:20" x14ac:dyDescent="0.3">
      <c r="B31" s="100"/>
      <c r="C31" s="121"/>
      <c r="D31" s="121"/>
      <c r="E31" s="122"/>
      <c r="F31" s="121"/>
      <c r="I31" s="100"/>
      <c r="J31" s="121"/>
      <c r="K31" s="121"/>
      <c r="L31" s="122"/>
      <c r="M31" s="121"/>
      <c r="P31" s="100"/>
      <c r="Q31" s="121"/>
      <c r="R31" s="121"/>
      <c r="S31" s="122"/>
      <c r="T31" s="121"/>
    </row>
    <row r="32" spans="2:20" ht="15" thickBot="1" x14ac:dyDescent="0.35">
      <c r="B32" s="101" t="s">
        <v>81</v>
      </c>
      <c r="C32" s="114">
        <f>SUM(C29,C30)</f>
        <v>720</v>
      </c>
      <c r="D32" s="115">
        <f>SUM(D29,D30)</f>
        <v>360</v>
      </c>
      <c r="E32" s="123">
        <f>SUM(E29,E30)</f>
        <v>310</v>
      </c>
      <c r="F32" s="117">
        <f>SUM(F29,F30)</f>
        <v>185</v>
      </c>
      <c r="I32" s="101" t="s">
        <v>81</v>
      </c>
      <c r="J32" s="114">
        <f>SUM(J29,J30)</f>
        <v>510</v>
      </c>
      <c r="K32" s="115">
        <f>SUM(K29,K30)</f>
        <v>360</v>
      </c>
      <c r="L32" s="123">
        <f>SUM(L29,L30)</f>
        <v>310</v>
      </c>
      <c r="M32" s="117">
        <f>SUM(M29,M30)</f>
        <v>290</v>
      </c>
      <c r="P32" s="101" t="s">
        <v>81</v>
      </c>
      <c r="Q32" s="114">
        <f>SUM(Q29,Q30)</f>
        <v>552</v>
      </c>
      <c r="R32" s="115">
        <f>SUM(R29,R30)</f>
        <v>360</v>
      </c>
      <c r="S32" s="123">
        <f>SUM(S29,S30)</f>
        <v>310</v>
      </c>
      <c r="T32" s="117">
        <f>SUM(T29,T30)</f>
        <v>290</v>
      </c>
    </row>
    <row r="36" spans="1:20" x14ac:dyDescent="0.3">
      <c r="A36" s="104" t="s">
        <v>85</v>
      </c>
    </row>
    <row r="37" spans="1:20" ht="86.4" x14ac:dyDescent="0.3">
      <c r="A37" s="105" t="s">
        <v>84</v>
      </c>
    </row>
    <row r="38" spans="1:20" ht="15" thickBot="1" x14ac:dyDescent="0.35"/>
    <row r="39" spans="1:20" ht="15" thickBot="1" x14ac:dyDescent="0.35">
      <c r="B39" s="86" t="s">
        <v>75</v>
      </c>
      <c r="C39" s="87" t="s">
        <v>76</v>
      </c>
      <c r="D39" s="87" t="s">
        <v>78</v>
      </c>
      <c r="E39" s="87" t="s">
        <v>77</v>
      </c>
      <c r="F39" s="88" t="s">
        <v>79</v>
      </c>
      <c r="I39" s="86" t="s">
        <v>75</v>
      </c>
      <c r="J39" s="87" t="s">
        <v>76</v>
      </c>
      <c r="K39" s="87" t="s">
        <v>78</v>
      </c>
      <c r="L39" s="87" t="s">
        <v>77</v>
      </c>
      <c r="M39" s="88" t="s">
        <v>79</v>
      </c>
      <c r="P39" s="86" t="s">
        <v>75</v>
      </c>
      <c r="Q39" s="87" t="s">
        <v>76</v>
      </c>
      <c r="R39" s="87" t="s">
        <v>78</v>
      </c>
      <c r="S39" s="87" t="s">
        <v>77</v>
      </c>
      <c r="T39" s="88" t="s">
        <v>79</v>
      </c>
    </row>
    <row r="40" spans="1:20" x14ac:dyDescent="0.3">
      <c r="B40" s="99" t="s">
        <v>13</v>
      </c>
      <c r="C40" s="89">
        <v>20</v>
      </c>
      <c r="D40" s="65">
        <v>10</v>
      </c>
      <c r="E40" s="92">
        <v>10</v>
      </c>
      <c r="F40" s="96">
        <v>5</v>
      </c>
      <c r="I40" s="99" t="s">
        <v>13</v>
      </c>
      <c r="J40" s="89">
        <v>10</v>
      </c>
      <c r="K40" s="65">
        <v>10</v>
      </c>
      <c r="L40" s="92">
        <v>10</v>
      </c>
      <c r="M40" s="96">
        <v>10</v>
      </c>
      <c r="P40" s="99" t="s">
        <v>13</v>
      </c>
      <c r="Q40" s="89">
        <v>12</v>
      </c>
      <c r="R40" s="65">
        <v>10</v>
      </c>
      <c r="S40" s="92">
        <v>10</v>
      </c>
      <c r="T40" s="96">
        <v>10</v>
      </c>
    </row>
    <row r="41" spans="1:20" x14ac:dyDescent="0.3">
      <c r="B41" s="100" t="s">
        <v>14</v>
      </c>
      <c r="C41" s="90">
        <v>20</v>
      </c>
      <c r="D41" s="64">
        <v>10</v>
      </c>
      <c r="E41" s="93">
        <v>10</v>
      </c>
      <c r="F41" s="97">
        <v>5</v>
      </c>
      <c r="I41" s="100" t="s">
        <v>14</v>
      </c>
      <c r="J41" s="90">
        <v>10</v>
      </c>
      <c r="K41" s="64">
        <v>10</v>
      </c>
      <c r="L41" s="93">
        <v>10</v>
      </c>
      <c r="M41" s="97">
        <v>10</v>
      </c>
      <c r="P41" s="100" t="s">
        <v>14</v>
      </c>
      <c r="Q41" s="90">
        <v>12</v>
      </c>
      <c r="R41" s="64">
        <v>10</v>
      </c>
      <c r="S41" s="93">
        <v>10</v>
      </c>
      <c r="T41" s="97">
        <v>10</v>
      </c>
    </row>
    <row r="42" spans="1:20" x14ac:dyDescent="0.3">
      <c r="B42" s="100" t="s">
        <v>15</v>
      </c>
      <c r="C42" s="90">
        <v>20</v>
      </c>
      <c r="D42" s="64">
        <v>10</v>
      </c>
      <c r="E42" s="93">
        <v>10</v>
      </c>
      <c r="F42" s="97">
        <v>5</v>
      </c>
      <c r="I42" s="100" t="s">
        <v>15</v>
      </c>
      <c r="J42" s="90">
        <v>10</v>
      </c>
      <c r="K42" s="64">
        <v>10</v>
      </c>
      <c r="L42" s="93">
        <v>10</v>
      </c>
      <c r="M42" s="97">
        <v>10</v>
      </c>
      <c r="P42" s="100" t="s">
        <v>15</v>
      </c>
      <c r="Q42" s="90">
        <v>12</v>
      </c>
      <c r="R42" s="64">
        <v>10</v>
      </c>
      <c r="S42" s="93">
        <v>10</v>
      </c>
      <c r="T42" s="97">
        <v>10</v>
      </c>
    </row>
    <row r="43" spans="1:20" x14ac:dyDescent="0.3">
      <c r="B43" s="100" t="s">
        <v>16</v>
      </c>
      <c r="C43" s="90">
        <v>20</v>
      </c>
      <c r="D43" s="64">
        <v>10</v>
      </c>
      <c r="E43" s="93">
        <v>10</v>
      </c>
      <c r="F43" s="97">
        <v>5</v>
      </c>
      <c r="I43" s="100" t="s">
        <v>16</v>
      </c>
      <c r="J43" s="90">
        <v>10</v>
      </c>
      <c r="K43" s="64">
        <v>10</v>
      </c>
      <c r="L43" s="93">
        <v>10</v>
      </c>
      <c r="M43" s="97">
        <v>10</v>
      </c>
      <c r="P43" s="100" t="s">
        <v>16</v>
      </c>
      <c r="Q43" s="90">
        <v>12</v>
      </c>
      <c r="R43" s="64">
        <v>10</v>
      </c>
      <c r="S43" s="93">
        <v>10</v>
      </c>
      <c r="T43" s="97">
        <v>10</v>
      </c>
    </row>
    <row r="44" spans="1:20" x14ac:dyDescent="0.3">
      <c r="B44" s="100" t="s">
        <v>17</v>
      </c>
      <c r="C44" s="90">
        <v>20</v>
      </c>
      <c r="D44" s="64">
        <v>10</v>
      </c>
      <c r="E44" s="93">
        <v>10</v>
      </c>
      <c r="F44" s="97">
        <v>5</v>
      </c>
      <c r="I44" s="100" t="s">
        <v>17</v>
      </c>
      <c r="J44" s="90">
        <v>10</v>
      </c>
      <c r="K44" s="64">
        <v>10</v>
      </c>
      <c r="L44" s="93">
        <v>10</v>
      </c>
      <c r="M44" s="97">
        <v>10</v>
      </c>
      <c r="P44" s="100" t="s">
        <v>17</v>
      </c>
      <c r="Q44" s="90">
        <v>12</v>
      </c>
      <c r="R44" s="64">
        <v>10</v>
      </c>
      <c r="S44" s="93">
        <v>10</v>
      </c>
      <c r="T44" s="97">
        <v>10</v>
      </c>
    </row>
    <row r="45" spans="1:20" x14ac:dyDescent="0.3">
      <c r="B45" s="100" t="s">
        <v>18</v>
      </c>
      <c r="C45" s="90">
        <v>20</v>
      </c>
      <c r="D45" s="64">
        <v>10</v>
      </c>
      <c r="E45" s="93">
        <v>10</v>
      </c>
      <c r="F45" s="97">
        <v>5</v>
      </c>
      <c r="I45" s="100" t="s">
        <v>18</v>
      </c>
      <c r="J45" s="90">
        <v>10</v>
      </c>
      <c r="K45" s="64">
        <v>10</v>
      </c>
      <c r="L45" s="93">
        <v>10</v>
      </c>
      <c r="M45" s="97">
        <v>10</v>
      </c>
      <c r="P45" s="100" t="s">
        <v>18</v>
      </c>
      <c r="Q45" s="90">
        <v>12</v>
      </c>
      <c r="R45" s="64">
        <v>10</v>
      </c>
      <c r="S45" s="93">
        <v>10</v>
      </c>
      <c r="T45" s="97">
        <v>10</v>
      </c>
    </row>
    <row r="46" spans="1:20" x14ac:dyDescent="0.3">
      <c r="B46" s="100" t="s">
        <v>19</v>
      </c>
      <c r="C46" s="90">
        <v>20</v>
      </c>
      <c r="D46" s="64">
        <v>10</v>
      </c>
      <c r="E46" s="93">
        <v>10</v>
      </c>
      <c r="F46" s="97">
        <v>5</v>
      </c>
      <c r="I46" s="100" t="s">
        <v>19</v>
      </c>
      <c r="J46" s="90">
        <v>10</v>
      </c>
      <c r="K46" s="64">
        <v>10</v>
      </c>
      <c r="L46" s="93">
        <v>10</v>
      </c>
      <c r="M46" s="97">
        <v>10</v>
      </c>
      <c r="P46" s="100" t="s">
        <v>19</v>
      </c>
      <c r="Q46" s="90">
        <v>12</v>
      </c>
      <c r="R46" s="64">
        <v>10</v>
      </c>
      <c r="S46" s="93">
        <v>10</v>
      </c>
      <c r="T46" s="97">
        <v>10</v>
      </c>
    </row>
    <row r="47" spans="1:20" x14ac:dyDescent="0.3">
      <c r="B47" s="100" t="s">
        <v>20</v>
      </c>
      <c r="C47" s="90">
        <v>20</v>
      </c>
      <c r="D47" s="64">
        <v>10</v>
      </c>
      <c r="E47" s="93">
        <v>10</v>
      </c>
      <c r="F47" s="97">
        <v>5</v>
      </c>
      <c r="I47" s="100" t="s">
        <v>20</v>
      </c>
      <c r="J47" s="90">
        <v>10</v>
      </c>
      <c r="K47" s="64">
        <v>10</v>
      </c>
      <c r="L47" s="93">
        <v>10</v>
      </c>
      <c r="M47" s="97">
        <v>10</v>
      </c>
      <c r="P47" s="100" t="s">
        <v>20</v>
      </c>
      <c r="Q47" s="90">
        <v>12</v>
      </c>
      <c r="R47" s="64">
        <v>10</v>
      </c>
      <c r="S47" s="93">
        <v>10</v>
      </c>
      <c r="T47" s="97">
        <v>10</v>
      </c>
    </row>
    <row r="48" spans="1:20" x14ac:dyDescent="0.3">
      <c r="B48" s="100" t="s">
        <v>21</v>
      </c>
      <c r="C48" s="90">
        <v>20</v>
      </c>
      <c r="D48" s="64">
        <v>10</v>
      </c>
      <c r="E48" s="93">
        <v>10</v>
      </c>
      <c r="F48" s="97">
        <v>5</v>
      </c>
      <c r="I48" s="100" t="s">
        <v>21</v>
      </c>
      <c r="J48" s="90">
        <v>10</v>
      </c>
      <c r="K48" s="64">
        <v>10</v>
      </c>
      <c r="L48" s="93">
        <v>10</v>
      </c>
      <c r="M48" s="97">
        <v>10</v>
      </c>
      <c r="P48" s="100" t="s">
        <v>21</v>
      </c>
      <c r="Q48" s="90">
        <v>12</v>
      </c>
      <c r="R48" s="64">
        <v>10</v>
      </c>
      <c r="S48" s="93">
        <v>10</v>
      </c>
      <c r="T48" s="97">
        <v>10</v>
      </c>
    </row>
    <row r="49" spans="2:20" x14ac:dyDescent="0.3">
      <c r="B49" s="100" t="s">
        <v>22</v>
      </c>
      <c r="C49" s="90">
        <v>20</v>
      </c>
      <c r="D49" s="64">
        <v>10</v>
      </c>
      <c r="E49" s="93">
        <v>10</v>
      </c>
      <c r="F49" s="97">
        <v>5</v>
      </c>
      <c r="I49" s="100" t="s">
        <v>22</v>
      </c>
      <c r="J49" s="90">
        <v>10</v>
      </c>
      <c r="K49" s="64">
        <v>10</v>
      </c>
      <c r="L49" s="93">
        <v>10</v>
      </c>
      <c r="M49" s="97">
        <v>10</v>
      </c>
      <c r="P49" s="100" t="s">
        <v>22</v>
      </c>
      <c r="Q49" s="90">
        <v>12</v>
      </c>
      <c r="R49" s="64">
        <v>10</v>
      </c>
      <c r="S49" s="93">
        <v>10</v>
      </c>
      <c r="T49" s="97">
        <v>10</v>
      </c>
    </row>
    <row r="50" spans="2:20" x14ac:dyDescent="0.3">
      <c r="B50" s="100" t="s">
        <v>23</v>
      </c>
      <c r="C50" s="100"/>
      <c r="D50" s="100"/>
      <c r="E50" s="100"/>
      <c r="F50" s="100"/>
      <c r="I50" s="100" t="s">
        <v>23</v>
      </c>
      <c r="J50" s="100"/>
      <c r="K50" s="100"/>
      <c r="L50" s="100"/>
      <c r="M50" s="100"/>
      <c r="P50" s="100" t="s">
        <v>23</v>
      </c>
      <c r="Q50" s="100"/>
      <c r="R50" s="100"/>
      <c r="S50" s="100"/>
      <c r="T50" s="100"/>
    </row>
    <row r="51" spans="2:20" x14ac:dyDescent="0.3">
      <c r="B51" s="100" t="s">
        <v>24</v>
      </c>
      <c r="C51" s="100"/>
      <c r="D51" s="100"/>
      <c r="E51" s="100"/>
      <c r="F51" s="100"/>
      <c r="I51" s="100" t="s">
        <v>24</v>
      </c>
      <c r="J51" s="100"/>
      <c r="K51" s="100"/>
      <c r="L51" s="100"/>
      <c r="M51" s="100"/>
      <c r="P51" s="100" t="s">
        <v>24</v>
      </c>
      <c r="Q51" s="100"/>
      <c r="R51" s="100"/>
      <c r="S51" s="100"/>
      <c r="T51" s="100"/>
    </row>
    <row r="52" spans="2:20" x14ac:dyDescent="0.3">
      <c r="B52" s="100" t="s">
        <v>25</v>
      </c>
      <c r="C52" s="100"/>
      <c r="D52" s="100"/>
      <c r="E52" s="100"/>
      <c r="F52" s="100"/>
      <c r="I52" s="100" t="s">
        <v>25</v>
      </c>
      <c r="J52" s="100"/>
      <c r="K52" s="100"/>
      <c r="L52" s="100"/>
      <c r="M52" s="100"/>
      <c r="P52" s="100" t="s">
        <v>25</v>
      </c>
      <c r="Q52" s="100"/>
      <c r="R52" s="100"/>
      <c r="S52" s="100"/>
      <c r="T52" s="100"/>
    </row>
    <row r="53" spans="2:20" x14ac:dyDescent="0.3">
      <c r="B53" s="100" t="s">
        <v>26</v>
      </c>
      <c r="C53" s="100"/>
      <c r="D53" s="100"/>
      <c r="E53" s="100"/>
      <c r="F53" s="100"/>
      <c r="I53" s="100" t="s">
        <v>26</v>
      </c>
      <c r="J53" s="100"/>
      <c r="K53" s="100"/>
      <c r="L53" s="100"/>
      <c r="M53" s="100"/>
      <c r="P53" s="100" t="s">
        <v>26</v>
      </c>
      <c r="Q53" s="100"/>
      <c r="R53" s="100"/>
      <c r="S53" s="100"/>
      <c r="T53" s="100"/>
    </row>
    <row r="54" spans="2:20" x14ac:dyDescent="0.3">
      <c r="B54" s="100" t="s">
        <v>27</v>
      </c>
      <c r="C54" s="100"/>
      <c r="D54" s="100"/>
      <c r="E54" s="100"/>
      <c r="F54" s="100"/>
      <c r="I54" s="100" t="s">
        <v>27</v>
      </c>
      <c r="J54" s="100"/>
      <c r="K54" s="100"/>
      <c r="L54" s="100"/>
      <c r="M54" s="100"/>
      <c r="P54" s="100" t="s">
        <v>27</v>
      </c>
      <c r="Q54" s="100"/>
      <c r="R54" s="100"/>
      <c r="S54" s="100"/>
      <c r="T54" s="100"/>
    </row>
    <row r="55" spans="2:20" x14ac:dyDescent="0.3">
      <c r="B55" s="100" t="s">
        <v>28</v>
      </c>
      <c r="C55" s="100"/>
      <c r="D55" s="100"/>
      <c r="E55" s="100"/>
      <c r="F55" s="100"/>
      <c r="I55" s="100" t="s">
        <v>28</v>
      </c>
      <c r="J55" s="100"/>
      <c r="K55" s="100"/>
      <c r="L55" s="100"/>
      <c r="M55" s="100"/>
      <c r="P55" s="100" t="s">
        <v>28</v>
      </c>
      <c r="Q55" s="100"/>
      <c r="R55" s="100"/>
      <c r="S55" s="100"/>
      <c r="T55" s="100"/>
    </row>
    <row r="56" spans="2:20" x14ac:dyDescent="0.3">
      <c r="B56" s="100" t="s">
        <v>29</v>
      </c>
      <c r="C56" s="100"/>
      <c r="D56" s="100"/>
      <c r="E56" s="100"/>
      <c r="F56" s="100"/>
      <c r="I56" s="100" t="s">
        <v>29</v>
      </c>
      <c r="J56" s="100"/>
      <c r="K56" s="100"/>
      <c r="L56" s="100"/>
      <c r="M56" s="100"/>
      <c r="P56" s="100" t="s">
        <v>29</v>
      </c>
      <c r="Q56" s="100"/>
      <c r="R56" s="100"/>
      <c r="S56" s="100"/>
      <c r="T56" s="100"/>
    </row>
    <row r="57" spans="2:20" x14ac:dyDescent="0.3">
      <c r="B57" s="100" t="s">
        <v>30</v>
      </c>
      <c r="C57" s="100"/>
      <c r="D57" s="100"/>
      <c r="E57" s="100"/>
      <c r="F57" s="100"/>
      <c r="I57" s="100" t="s">
        <v>30</v>
      </c>
      <c r="J57" s="100"/>
      <c r="K57" s="100"/>
      <c r="L57" s="100"/>
      <c r="M57" s="100"/>
      <c r="P57" s="100" t="s">
        <v>30</v>
      </c>
      <c r="Q57" s="100"/>
      <c r="R57" s="100"/>
      <c r="S57" s="100"/>
      <c r="T57" s="100"/>
    </row>
    <row r="58" spans="2:20" x14ac:dyDescent="0.3">
      <c r="B58" s="100" t="s">
        <v>32</v>
      </c>
      <c r="C58" s="100"/>
      <c r="D58" s="100"/>
      <c r="E58" s="100"/>
      <c r="F58" s="100"/>
      <c r="I58" s="100" t="s">
        <v>32</v>
      </c>
      <c r="J58" s="100"/>
      <c r="K58" s="100"/>
      <c r="L58" s="100"/>
      <c r="M58" s="100"/>
      <c r="P58" s="100" t="s">
        <v>32</v>
      </c>
      <c r="Q58" s="100"/>
      <c r="R58" s="100"/>
      <c r="S58" s="100"/>
      <c r="T58" s="100"/>
    </row>
    <row r="59" spans="2:20" x14ac:dyDescent="0.3">
      <c r="B59" s="100" t="s">
        <v>34</v>
      </c>
      <c r="C59" s="100"/>
      <c r="D59" s="100"/>
      <c r="E59" s="100"/>
      <c r="F59" s="100"/>
      <c r="I59" s="100" t="s">
        <v>34</v>
      </c>
      <c r="J59" s="100"/>
      <c r="K59" s="100"/>
      <c r="L59" s="100"/>
      <c r="M59" s="100"/>
      <c r="P59" s="100" t="s">
        <v>34</v>
      </c>
      <c r="Q59" s="100"/>
      <c r="R59" s="100"/>
      <c r="S59" s="100"/>
      <c r="T59" s="100"/>
    </row>
    <row r="60" spans="2:20" ht="15" thickBot="1" x14ac:dyDescent="0.35">
      <c r="B60" s="101" t="s">
        <v>36</v>
      </c>
      <c r="C60" s="101"/>
      <c r="D60" s="101"/>
      <c r="E60" s="101"/>
      <c r="F60" s="101"/>
      <c r="I60" s="100" t="s">
        <v>36</v>
      </c>
      <c r="J60" s="101"/>
      <c r="K60" s="101"/>
      <c r="L60" s="101"/>
      <c r="M60" s="101"/>
      <c r="P60" s="101" t="s">
        <v>36</v>
      </c>
      <c r="Q60" s="101"/>
      <c r="R60" s="101"/>
      <c r="S60" s="101"/>
      <c r="T60" s="101"/>
    </row>
    <row r="61" spans="2:20" ht="15" thickBot="1" x14ac:dyDescent="0.35"/>
    <row r="62" spans="2:20" x14ac:dyDescent="0.3">
      <c r="B62" s="99" t="s">
        <v>80</v>
      </c>
      <c r="C62" s="99">
        <f>SUM(C40:C60)</f>
        <v>200</v>
      </c>
      <c r="D62" s="99">
        <f>SUM(D40:D60)</f>
        <v>100</v>
      </c>
      <c r="E62" s="102">
        <f>SUM(E40:E60)</f>
        <v>100</v>
      </c>
      <c r="F62" s="99">
        <f>SUM(F40:F60)</f>
        <v>50</v>
      </c>
      <c r="I62" s="99" t="s">
        <v>80</v>
      </c>
      <c r="J62" s="99">
        <f>SUM(J40:J60)</f>
        <v>100</v>
      </c>
      <c r="K62" s="99">
        <f>SUM(K40:K60)</f>
        <v>100</v>
      </c>
      <c r="L62" s="102">
        <f>SUM(L40:L60)</f>
        <v>100</v>
      </c>
      <c r="M62" s="99">
        <f>SUM(M40:M60)</f>
        <v>100</v>
      </c>
      <c r="P62" s="99" t="s">
        <v>80</v>
      </c>
      <c r="Q62" s="99">
        <f>SUM(Q40:Q60)</f>
        <v>120</v>
      </c>
      <c r="R62" s="99">
        <f>SUM(R40:R60)</f>
        <v>100</v>
      </c>
      <c r="S62" s="102">
        <f>SUM(S40:S60)</f>
        <v>100</v>
      </c>
      <c r="T62" s="99">
        <f>SUM(T40:T60)</f>
        <v>100</v>
      </c>
    </row>
    <row r="63" spans="2:20" x14ac:dyDescent="0.3">
      <c r="B63" s="100" t="s">
        <v>39</v>
      </c>
      <c r="C63" s="100">
        <v>300</v>
      </c>
      <c r="D63" s="100">
        <v>150</v>
      </c>
      <c r="E63" s="103">
        <v>100</v>
      </c>
      <c r="F63" s="100">
        <v>80</v>
      </c>
      <c r="I63" s="100" t="s">
        <v>39</v>
      </c>
      <c r="J63" s="100">
        <v>300</v>
      </c>
      <c r="K63" s="100">
        <v>150</v>
      </c>
      <c r="L63" s="103">
        <v>100</v>
      </c>
      <c r="M63" s="100">
        <v>80</v>
      </c>
      <c r="P63" s="100" t="s">
        <v>39</v>
      </c>
      <c r="Q63" s="100">
        <v>300</v>
      </c>
      <c r="R63" s="100">
        <v>150</v>
      </c>
      <c r="S63" s="103">
        <v>100</v>
      </c>
      <c r="T63" s="100">
        <v>80</v>
      </c>
    </row>
    <row r="64" spans="2:20" x14ac:dyDescent="0.3">
      <c r="B64" s="100"/>
      <c r="C64" s="100"/>
      <c r="D64" s="100"/>
      <c r="E64" s="103"/>
      <c r="F64" s="100"/>
      <c r="I64" s="100"/>
      <c r="J64" s="100"/>
      <c r="K64" s="100"/>
      <c r="L64" s="103"/>
      <c r="M64" s="100"/>
      <c r="P64" s="100"/>
      <c r="Q64" s="100"/>
      <c r="R64" s="100"/>
      <c r="S64" s="103"/>
      <c r="T64" s="100"/>
    </row>
    <row r="65" spans="1:20" ht="15" thickBot="1" x14ac:dyDescent="0.35">
      <c r="B65" s="101" t="s">
        <v>81</v>
      </c>
      <c r="C65" s="91">
        <f>SUM(C62,C63)</f>
        <v>500</v>
      </c>
      <c r="D65" s="95">
        <f>SUM(D62,D63)</f>
        <v>250</v>
      </c>
      <c r="E65" s="85">
        <f>SUM(E62,E63)</f>
        <v>200</v>
      </c>
      <c r="F65" s="98">
        <f>SUM(F62,F63)</f>
        <v>130</v>
      </c>
      <c r="I65" s="101" t="s">
        <v>81</v>
      </c>
      <c r="J65" s="91">
        <f>SUM(J62,J63)</f>
        <v>400</v>
      </c>
      <c r="K65" s="95">
        <f>SUM(K62,K63)</f>
        <v>250</v>
      </c>
      <c r="L65" s="85">
        <f>SUM(L62,L63)</f>
        <v>200</v>
      </c>
      <c r="M65" s="98">
        <f>SUM(M62,M63)</f>
        <v>180</v>
      </c>
      <c r="P65" s="101" t="s">
        <v>81</v>
      </c>
      <c r="Q65" s="91">
        <f>SUM(Q62,Q63)</f>
        <v>420</v>
      </c>
      <c r="R65" s="95">
        <f>SUM(R62,R63)</f>
        <v>250</v>
      </c>
      <c r="S65" s="85">
        <f>SUM(S62,S63)</f>
        <v>200</v>
      </c>
      <c r="T65" s="98">
        <f>SUM(T62,T63)</f>
        <v>180</v>
      </c>
    </row>
    <row r="68" spans="1:20" x14ac:dyDescent="0.3">
      <c r="A68" s="104" t="s">
        <v>86</v>
      </c>
    </row>
    <row r="69" spans="1:20" ht="86.4" x14ac:dyDescent="0.3">
      <c r="A69" s="105" t="s">
        <v>87</v>
      </c>
    </row>
    <row r="70" spans="1:20" ht="15" thickBot="1" x14ac:dyDescent="0.35"/>
    <row r="71" spans="1:20" ht="15" thickBot="1" x14ac:dyDescent="0.35">
      <c r="B71" s="86" t="s">
        <v>75</v>
      </c>
      <c r="C71" s="87" t="s">
        <v>76</v>
      </c>
      <c r="D71" s="87" t="s">
        <v>78</v>
      </c>
      <c r="E71" s="87" t="s">
        <v>77</v>
      </c>
      <c r="F71" s="88" t="s">
        <v>79</v>
      </c>
      <c r="I71" s="86" t="s">
        <v>75</v>
      </c>
      <c r="J71" s="87" t="s">
        <v>76</v>
      </c>
      <c r="K71" s="87" t="s">
        <v>78</v>
      </c>
      <c r="L71" s="87" t="s">
        <v>77</v>
      </c>
      <c r="M71" s="88" t="s">
        <v>79</v>
      </c>
      <c r="P71" s="86" t="s">
        <v>75</v>
      </c>
      <c r="Q71" s="87" t="s">
        <v>76</v>
      </c>
      <c r="R71" s="87" t="s">
        <v>78</v>
      </c>
      <c r="S71" s="87" t="s">
        <v>77</v>
      </c>
      <c r="T71" s="88" t="s">
        <v>79</v>
      </c>
    </row>
    <row r="72" spans="1:20" x14ac:dyDescent="0.3">
      <c r="B72" s="99" t="s">
        <v>13</v>
      </c>
      <c r="C72" s="89">
        <v>20</v>
      </c>
      <c r="D72" s="65">
        <v>10</v>
      </c>
      <c r="E72" s="92">
        <v>10</v>
      </c>
      <c r="F72" s="96">
        <v>5</v>
      </c>
      <c r="I72" s="99" t="s">
        <v>13</v>
      </c>
      <c r="J72" s="89">
        <v>10</v>
      </c>
      <c r="K72" s="65">
        <v>10</v>
      </c>
      <c r="L72" s="92">
        <v>10</v>
      </c>
      <c r="M72" s="96">
        <v>10</v>
      </c>
      <c r="P72" s="99" t="s">
        <v>13</v>
      </c>
      <c r="Q72" s="89">
        <v>12</v>
      </c>
      <c r="R72" s="65">
        <v>10</v>
      </c>
      <c r="S72" s="92">
        <v>10</v>
      </c>
      <c r="T72" s="96">
        <v>10</v>
      </c>
    </row>
    <row r="73" spans="1:20" x14ac:dyDescent="0.3">
      <c r="B73" s="100" t="s">
        <v>14</v>
      </c>
      <c r="C73" s="90">
        <v>20</v>
      </c>
      <c r="D73" s="64">
        <v>10</v>
      </c>
      <c r="E73" s="93">
        <v>10</v>
      </c>
      <c r="F73" s="97">
        <v>5</v>
      </c>
      <c r="I73" s="100" t="s">
        <v>14</v>
      </c>
      <c r="J73" s="90">
        <v>10</v>
      </c>
      <c r="K73" s="64">
        <v>10</v>
      </c>
      <c r="L73" s="93">
        <v>10</v>
      </c>
      <c r="M73" s="97">
        <v>10</v>
      </c>
      <c r="P73" s="100" t="s">
        <v>14</v>
      </c>
      <c r="Q73" s="90">
        <v>12</v>
      </c>
      <c r="R73" s="64">
        <v>10</v>
      </c>
      <c r="S73" s="93">
        <v>10</v>
      </c>
      <c r="T73" s="97">
        <v>10</v>
      </c>
    </row>
    <row r="74" spans="1:20" x14ac:dyDescent="0.3">
      <c r="B74" s="100" t="s">
        <v>15</v>
      </c>
      <c r="C74" s="90">
        <v>20</v>
      </c>
      <c r="D74" s="64">
        <v>10</v>
      </c>
      <c r="E74" s="93">
        <v>10</v>
      </c>
      <c r="F74" s="97">
        <v>5</v>
      </c>
      <c r="I74" s="100" t="s">
        <v>15</v>
      </c>
      <c r="J74" s="90">
        <v>10</v>
      </c>
      <c r="K74" s="64">
        <v>10</v>
      </c>
      <c r="L74" s="93">
        <v>10</v>
      </c>
      <c r="M74" s="97">
        <v>10</v>
      </c>
      <c r="P74" s="100" t="s">
        <v>15</v>
      </c>
      <c r="Q74" s="90">
        <v>12</v>
      </c>
      <c r="R74" s="64">
        <v>10</v>
      </c>
      <c r="S74" s="93">
        <v>10</v>
      </c>
      <c r="T74" s="97">
        <v>10</v>
      </c>
    </row>
    <row r="75" spans="1:20" x14ac:dyDescent="0.3">
      <c r="B75" s="100" t="s">
        <v>16</v>
      </c>
      <c r="C75" s="90">
        <v>20</v>
      </c>
      <c r="D75" s="64">
        <v>10</v>
      </c>
      <c r="E75" s="93">
        <v>10</v>
      </c>
      <c r="F75" s="97">
        <v>5</v>
      </c>
      <c r="I75" s="100" t="s">
        <v>16</v>
      </c>
      <c r="J75" s="90">
        <v>10</v>
      </c>
      <c r="K75" s="64">
        <v>10</v>
      </c>
      <c r="L75" s="93">
        <v>10</v>
      </c>
      <c r="M75" s="97">
        <v>10</v>
      </c>
      <c r="P75" s="100" t="s">
        <v>16</v>
      </c>
      <c r="Q75" s="90">
        <v>12</v>
      </c>
      <c r="R75" s="64">
        <v>10</v>
      </c>
      <c r="S75" s="93">
        <v>10</v>
      </c>
      <c r="T75" s="97">
        <v>10</v>
      </c>
    </row>
    <row r="76" spans="1:20" x14ac:dyDescent="0.3">
      <c r="B76" s="100" t="s">
        <v>17</v>
      </c>
      <c r="C76" s="90">
        <v>20</v>
      </c>
      <c r="D76" s="64">
        <v>10</v>
      </c>
      <c r="E76" s="93">
        <v>10</v>
      </c>
      <c r="F76" s="97">
        <v>5</v>
      </c>
      <c r="I76" s="100" t="s">
        <v>17</v>
      </c>
      <c r="J76" s="90">
        <v>10</v>
      </c>
      <c r="K76" s="64">
        <v>10</v>
      </c>
      <c r="L76" s="93">
        <v>10</v>
      </c>
      <c r="M76" s="97">
        <v>10</v>
      </c>
      <c r="P76" s="100" t="s">
        <v>17</v>
      </c>
      <c r="Q76" s="90">
        <v>12</v>
      </c>
      <c r="R76" s="64">
        <v>10</v>
      </c>
      <c r="S76" s="93">
        <v>10</v>
      </c>
      <c r="T76" s="97">
        <v>10</v>
      </c>
    </row>
    <row r="77" spans="1:20" x14ac:dyDescent="0.3">
      <c r="B77" s="100" t="s">
        <v>18</v>
      </c>
      <c r="C77" s="100"/>
      <c r="D77" s="100"/>
      <c r="E77" s="100"/>
      <c r="F77" s="100"/>
      <c r="I77" s="100" t="s">
        <v>18</v>
      </c>
      <c r="J77" s="100"/>
      <c r="K77" s="100"/>
      <c r="L77" s="100"/>
      <c r="M77" s="100"/>
      <c r="P77" s="100" t="s">
        <v>18</v>
      </c>
      <c r="Q77" s="100"/>
      <c r="R77" s="100"/>
      <c r="S77" s="100"/>
      <c r="T77" s="100"/>
    </row>
    <row r="78" spans="1:20" x14ac:dyDescent="0.3">
      <c r="B78" s="100" t="s">
        <v>19</v>
      </c>
      <c r="C78" s="100"/>
      <c r="D78" s="100"/>
      <c r="E78" s="100"/>
      <c r="F78" s="100"/>
      <c r="I78" s="100" t="s">
        <v>19</v>
      </c>
      <c r="J78" s="100"/>
      <c r="K78" s="100"/>
      <c r="L78" s="100"/>
      <c r="M78" s="100"/>
      <c r="P78" s="100" t="s">
        <v>19</v>
      </c>
      <c r="Q78" s="100"/>
      <c r="R78" s="100"/>
      <c r="S78" s="100"/>
      <c r="T78" s="100"/>
    </row>
    <row r="79" spans="1:20" x14ac:dyDescent="0.3">
      <c r="B79" s="100" t="s">
        <v>20</v>
      </c>
      <c r="C79" s="100"/>
      <c r="D79" s="100"/>
      <c r="E79" s="100"/>
      <c r="F79" s="100"/>
      <c r="I79" s="100" t="s">
        <v>20</v>
      </c>
      <c r="J79" s="100"/>
      <c r="K79" s="100"/>
      <c r="L79" s="100"/>
      <c r="M79" s="100"/>
      <c r="P79" s="100" t="s">
        <v>20</v>
      </c>
      <c r="Q79" s="100"/>
      <c r="R79" s="100"/>
      <c r="S79" s="100"/>
      <c r="T79" s="100"/>
    </row>
    <row r="80" spans="1:20" x14ac:dyDescent="0.3">
      <c r="B80" s="100" t="s">
        <v>21</v>
      </c>
      <c r="C80" s="100"/>
      <c r="D80" s="100"/>
      <c r="E80" s="100"/>
      <c r="F80" s="100"/>
      <c r="I80" s="100" t="s">
        <v>21</v>
      </c>
      <c r="J80" s="100"/>
      <c r="K80" s="100"/>
      <c r="L80" s="100"/>
      <c r="M80" s="100"/>
      <c r="P80" s="100" t="s">
        <v>21</v>
      </c>
      <c r="Q80" s="100"/>
      <c r="R80" s="100"/>
      <c r="S80" s="100"/>
      <c r="T80" s="100"/>
    </row>
    <row r="81" spans="2:20" x14ac:dyDescent="0.3">
      <c r="B81" s="100" t="s">
        <v>22</v>
      </c>
      <c r="C81" s="100"/>
      <c r="D81" s="100"/>
      <c r="E81" s="100"/>
      <c r="F81" s="100"/>
      <c r="I81" s="100" t="s">
        <v>22</v>
      </c>
      <c r="J81" s="100"/>
      <c r="K81" s="100"/>
      <c r="L81" s="100"/>
      <c r="M81" s="100"/>
      <c r="P81" s="100" t="s">
        <v>22</v>
      </c>
      <c r="Q81" s="100"/>
      <c r="R81" s="100"/>
      <c r="S81" s="100"/>
      <c r="T81" s="100"/>
    </row>
    <row r="82" spans="2:20" x14ac:dyDescent="0.3">
      <c r="B82" s="100" t="s">
        <v>23</v>
      </c>
      <c r="C82" s="100"/>
      <c r="D82" s="100"/>
      <c r="E82" s="100"/>
      <c r="F82" s="100"/>
      <c r="I82" s="100" t="s">
        <v>23</v>
      </c>
      <c r="J82" s="100"/>
      <c r="K82" s="100"/>
      <c r="L82" s="100"/>
      <c r="M82" s="100"/>
      <c r="P82" s="100" t="s">
        <v>23</v>
      </c>
      <c r="Q82" s="100"/>
      <c r="R82" s="100"/>
      <c r="S82" s="100"/>
      <c r="T82" s="100"/>
    </row>
    <row r="83" spans="2:20" x14ac:dyDescent="0.3">
      <c r="B83" s="100" t="s">
        <v>24</v>
      </c>
      <c r="C83" s="100"/>
      <c r="D83" s="100"/>
      <c r="E83" s="100"/>
      <c r="F83" s="100"/>
      <c r="I83" s="100" t="s">
        <v>24</v>
      </c>
      <c r="J83" s="100"/>
      <c r="K83" s="100"/>
      <c r="L83" s="100"/>
      <c r="M83" s="100"/>
      <c r="P83" s="100" t="s">
        <v>24</v>
      </c>
      <c r="Q83" s="100"/>
      <c r="R83" s="100"/>
      <c r="S83" s="100"/>
      <c r="T83" s="100"/>
    </row>
    <row r="84" spans="2:20" x14ac:dyDescent="0.3">
      <c r="B84" s="100" t="s">
        <v>25</v>
      </c>
      <c r="C84" s="100"/>
      <c r="D84" s="100"/>
      <c r="E84" s="100"/>
      <c r="F84" s="100"/>
      <c r="I84" s="100" t="s">
        <v>25</v>
      </c>
      <c r="J84" s="100"/>
      <c r="K84" s="100"/>
      <c r="L84" s="100"/>
      <c r="M84" s="100"/>
      <c r="P84" s="100" t="s">
        <v>25</v>
      </c>
      <c r="Q84" s="100"/>
      <c r="R84" s="100"/>
      <c r="S84" s="100"/>
      <c r="T84" s="100"/>
    </row>
    <row r="85" spans="2:20" x14ac:dyDescent="0.3">
      <c r="B85" s="100" t="s">
        <v>26</v>
      </c>
      <c r="C85" s="100"/>
      <c r="D85" s="100"/>
      <c r="E85" s="100"/>
      <c r="F85" s="100"/>
      <c r="I85" s="100" t="s">
        <v>26</v>
      </c>
      <c r="J85" s="100"/>
      <c r="K85" s="100"/>
      <c r="L85" s="100"/>
      <c r="M85" s="100"/>
      <c r="P85" s="100" t="s">
        <v>26</v>
      </c>
      <c r="Q85" s="100"/>
      <c r="R85" s="100"/>
      <c r="S85" s="100"/>
      <c r="T85" s="100"/>
    </row>
    <row r="86" spans="2:20" x14ac:dyDescent="0.3">
      <c r="B86" s="100" t="s">
        <v>27</v>
      </c>
      <c r="C86" s="100"/>
      <c r="D86" s="100"/>
      <c r="E86" s="100"/>
      <c r="F86" s="100"/>
      <c r="I86" s="100" t="s">
        <v>27</v>
      </c>
      <c r="J86" s="100"/>
      <c r="K86" s="100"/>
      <c r="L86" s="100"/>
      <c r="M86" s="100"/>
      <c r="P86" s="100" t="s">
        <v>27</v>
      </c>
      <c r="Q86" s="100"/>
      <c r="R86" s="100"/>
      <c r="S86" s="100"/>
      <c r="T86" s="100"/>
    </row>
    <row r="87" spans="2:20" x14ac:dyDescent="0.3">
      <c r="B87" s="100" t="s">
        <v>28</v>
      </c>
      <c r="C87" s="100"/>
      <c r="D87" s="100"/>
      <c r="E87" s="100"/>
      <c r="F87" s="100"/>
      <c r="I87" s="100" t="s">
        <v>28</v>
      </c>
      <c r="J87" s="100"/>
      <c r="K87" s="100"/>
      <c r="L87" s="100"/>
      <c r="M87" s="100"/>
      <c r="P87" s="100" t="s">
        <v>28</v>
      </c>
      <c r="Q87" s="100"/>
      <c r="R87" s="100"/>
      <c r="S87" s="100"/>
      <c r="T87" s="100"/>
    </row>
    <row r="88" spans="2:20" x14ac:dyDescent="0.3">
      <c r="B88" s="100" t="s">
        <v>29</v>
      </c>
      <c r="C88" s="100"/>
      <c r="D88" s="100"/>
      <c r="E88" s="100"/>
      <c r="F88" s="100"/>
      <c r="I88" s="100" t="s">
        <v>29</v>
      </c>
      <c r="J88" s="100"/>
      <c r="K88" s="100"/>
      <c r="L88" s="100"/>
      <c r="M88" s="100"/>
      <c r="P88" s="100" t="s">
        <v>29</v>
      </c>
      <c r="Q88" s="100"/>
      <c r="R88" s="100"/>
      <c r="S88" s="100"/>
      <c r="T88" s="100"/>
    </row>
    <row r="89" spans="2:20" x14ac:dyDescent="0.3">
      <c r="B89" s="100" t="s">
        <v>30</v>
      </c>
      <c r="C89" s="100"/>
      <c r="D89" s="100"/>
      <c r="E89" s="100"/>
      <c r="F89" s="100"/>
      <c r="I89" s="100" t="s">
        <v>30</v>
      </c>
      <c r="J89" s="100"/>
      <c r="K89" s="100"/>
      <c r="L89" s="100"/>
      <c r="M89" s="100"/>
      <c r="P89" s="100" t="s">
        <v>30</v>
      </c>
      <c r="Q89" s="100"/>
      <c r="R89" s="100"/>
      <c r="S89" s="100"/>
      <c r="T89" s="100"/>
    </row>
    <row r="90" spans="2:20" x14ac:dyDescent="0.3">
      <c r="B90" s="100" t="s">
        <v>32</v>
      </c>
      <c r="C90" s="100"/>
      <c r="D90" s="100"/>
      <c r="E90" s="100"/>
      <c r="F90" s="100"/>
      <c r="I90" s="100" t="s">
        <v>32</v>
      </c>
      <c r="J90" s="100"/>
      <c r="K90" s="100"/>
      <c r="L90" s="100"/>
      <c r="M90" s="100"/>
      <c r="P90" s="100" t="s">
        <v>32</v>
      </c>
      <c r="Q90" s="100"/>
      <c r="R90" s="100"/>
      <c r="S90" s="100"/>
      <c r="T90" s="100"/>
    </row>
    <row r="91" spans="2:20" x14ac:dyDescent="0.3">
      <c r="B91" s="100" t="s">
        <v>34</v>
      </c>
      <c r="C91" s="100"/>
      <c r="D91" s="100"/>
      <c r="E91" s="100"/>
      <c r="F91" s="100"/>
      <c r="I91" s="100" t="s">
        <v>34</v>
      </c>
      <c r="J91" s="100"/>
      <c r="K91" s="100"/>
      <c r="L91" s="100"/>
      <c r="M91" s="100"/>
      <c r="P91" s="100" t="s">
        <v>34</v>
      </c>
      <c r="Q91" s="100"/>
      <c r="R91" s="100"/>
      <c r="S91" s="100"/>
      <c r="T91" s="100"/>
    </row>
    <row r="92" spans="2:20" ht="15" thickBot="1" x14ac:dyDescent="0.35">
      <c r="B92" s="101" t="s">
        <v>36</v>
      </c>
      <c r="C92" s="101"/>
      <c r="D92" s="101"/>
      <c r="E92" s="101"/>
      <c r="F92" s="101"/>
      <c r="I92" s="100" t="s">
        <v>36</v>
      </c>
      <c r="J92" s="101"/>
      <c r="K92" s="101"/>
      <c r="L92" s="101"/>
      <c r="M92" s="101"/>
      <c r="P92" s="101" t="s">
        <v>36</v>
      </c>
      <c r="Q92" s="101"/>
      <c r="R92" s="101"/>
      <c r="S92" s="101"/>
      <c r="T92" s="101"/>
    </row>
    <row r="93" spans="2:20" ht="15" thickBot="1" x14ac:dyDescent="0.35"/>
    <row r="94" spans="2:20" x14ac:dyDescent="0.3">
      <c r="B94" s="99" t="s">
        <v>80</v>
      </c>
      <c r="C94" s="99">
        <f>SUM(C72:C92)</f>
        <v>100</v>
      </c>
      <c r="D94" s="99">
        <f>SUM(D72:D92)</f>
        <v>50</v>
      </c>
      <c r="E94" s="102">
        <f>SUM(E72:E92)</f>
        <v>50</v>
      </c>
      <c r="F94" s="99">
        <f>SUM(F72:F92)</f>
        <v>25</v>
      </c>
      <c r="I94" s="99" t="s">
        <v>80</v>
      </c>
      <c r="J94" s="99">
        <f>SUM(J72:J92)</f>
        <v>50</v>
      </c>
      <c r="K94" s="99">
        <f>SUM(K72:K92)</f>
        <v>50</v>
      </c>
      <c r="L94" s="102">
        <f>SUM(L72:L92)</f>
        <v>50</v>
      </c>
      <c r="M94" s="99">
        <f>SUM(M72:M92)</f>
        <v>50</v>
      </c>
      <c r="P94" s="99" t="s">
        <v>80</v>
      </c>
      <c r="Q94" s="99">
        <f>SUM(Q72:Q92)</f>
        <v>60</v>
      </c>
      <c r="R94" s="99">
        <f>SUM(R72:R92)</f>
        <v>50</v>
      </c>
      <c r="S94" s="102">
        <f>SUM(S72:S92)</f>
        <v>50</v>
      </c>
      <c r="T94" s="99">
        <f>SUM(T72:T92)</f>
        <v>50</v>
      </c>
    </row>
    <row r="95" spans="2:20" x14ac:dyDescent="0.3">
      <c r="B95" s="100" t="s">
        <v>39</v>
      </c>
      <c r="C95" s="100">
        <v>300</v>
      </c>
      <c r="D95" s="100">
        <v>150</v>
      </c>
      <c r="E95" s="103">
        <v>100</v>
      </c>
      <c r="F95" s="100">
        <v>80</v>
      </c>
      <c r="I95" s="100" t="s">
        <v>39</v>
      </c>
      <c r="J95" s="100">
        <v>300</v>
      </c>
      <c r="K95" s="100">
        <v>150</v>
      </c>
      <c r="L95" s="103">
        <v>100</v>
      </c>
      <c r="M95" s="100">
        <v>80</v>
      </c>
      <c r="P95" s="100" t="s">
        <v>39</v>
      </c>
      <c r="Q95" s="100">
        <v>300</v>
      </c>
      <c r="R95" s="100">
        <v>150</v>
      </c>
      <c r="S95" s="103">
        <v>100</v>
      </c>
      <c r="T95" s="100">
        <v>80</v>
      </c>
    </row>
    <row r="96" spans="2:20" x14ac:dyDescent="0.3">
      <c r="B96" s="100"/>
      <c r="C96" s="100"/>
      <c r="D96" s="100"/>
      <c r="E96" s="103"/>
      <c r="F96" s="100"/>
      <c r="I96" s="100"/>
      <c r="J96" s="100"/>
      <c r="K96" s="100"/>
      <c r="L96" s="103"/>
      <c r="M96" s="100"/>
      <c r="P96" s="100"/>
      <c r="Q96" s="100"/>
      <c r="R96" s="100"/>
      <c r="S96" s="103"/>
      <c r="T96" s="100"/>
    </row>
    <row r="97" spans="1:20" ht="15" thickBot="1" x14ac:dyDescent="0.35">
      <c r="B97" s="101" t="s">
        <v>81</v>
      </c>
      <c r="C97" s="91">
        <f>SUM(C94,C95)</f>
        <v>400</v>
      </c>
      <c r="D97" s="95">
        <f>SUM(D94,D95)</f>
        <v>200</v>
      </c>
      <c r="E97" s="85">
        <f>SUM(E94,E95)</f>
        <v>150</v>
      </c>
      <c r="F97" s="98">
        <f>SUM(F94,F95)</f>
        <v>105</v>
      </c>
      <c r="I97" s="101" t="s">
        <v>81</v>
      </c>
      <c r="J97" s="91">
        <f>SUM(J94,J95)</f>
        <v>350</v>
      </c>
      <c r="K97" s="95">
        <f>SUM(K94,K95)</f>
        <v>200</v>
      </c>
      <c r="L97" s="85">
        <f>SUM(L94,L95)</f>
        <v>150</v>
      </c>
      <c r="M97" s="98">
        <f>SUM(M94,M95)</f>
        <v>130</v>
      </c>
      <c r="P97" s="101" t="s">
        <v>81</v>
      </c>
      <c r="Q97" s="91">
        <f>SUM(Q94,Q95)</f>
        <v>360</v>
      </c>
      <c r="R97" s="95">
        <f>SUM(R94,R95)</f>
        <v>200</v>
      </c>
      <c r="S97" s="85">
        <f>SUM(S94,S95)</f>
        <v>150</v>
      </c>
      <c r="T97" s="98">
        <f>SUM(T94,T95)</f>
        <v>130</v>
      </c>
    </row>
    <row r="100" spans="1:20" x14ac:dyDescent="0.3">
      <c r="A100" s="104" t="s">
        <v>89</v>
      </c>
    </row>
    <row r="101" spans="1:20" ht="72" x14ac:dyDescent="0.3">
      <c r="A101" s="105" t="s">
        <v>88</v>
      </c>
    </row>
    <row r="102" spans="1:20" ht="15" thickBot="1" x14ac:dyDescent="0.35"/>
    <row r="103" spans="1:20" ht="15" thickBot="1" x14ac:dyDescent="0.35">
      <c r="B103" s="86" t="s">
        <v>75</v>
      </c>
      <c r="C103" s="87" t="s">
        <v>76</v>
      </c>
      <c r="D103" s="87" t="s">
        <v>78</v>
      </c>
      <c r="E103" s="87" t="s">
        <v>77</v>
      </c>
      <c r="F103" s="88" t="s">
        <v>79</v>
      </c>
      <c r="I103" s="86" t="s">
        <v>75</v>
      </c>
      <c r="J103" s="87" t="s">
        <v>76</v>
      </c>
      <c r="K103" s="87" t="s">
        <v>78</v>
      </c>
      <c r="L103" s="87" t="s">
        <v>77</v>
      </c>
      <c r="M103" s="88" t="s">
        <v>79</v>
      </c>
      <c r="P103" s="86" t="s">
        <v>75</v>
      </c>
      <c r="Q103" s="87" t="s">
        <v>76</v>
      </c>
      <c r="R103" s="87" t="s">
        <v>78</v>
      </c>
      <c r="S103" s="87" t="s">
        <v>77</v>
      </c>
      <c r="T103" s="88" t="s">
        <v>79</v>
      </c>
    </row>
    <row r="104" spans="1:20" x14ac:dyDescent="0.3">
      <c r="B104" s="99" t="s">
        <v>13</v>
      </c>
      <c r="C104" s="89">
        <v>20</v>
      </c>
      <c r="D104" s="65">
        <v>10</v>
      </c>
      <c r="E104" s="92">
        <v>10</v>
      </c>
      <c r="F104" s="96">
        <v>5</v>
      </c>
      <c r="I104" s="99" t="s">
        <v>13</v>
      </c>
      <c r="J104" s="89">
        <v>10</v>
      </c>
      <c r="K104" s="65">
        <v>10</v>
      </c>
      <c r="L104" s="92">
        <v>10</v>
      </c>
      <c r="M104" s="96">
        <v>10</v>
      </c>
      <c r="P104" s="99" t="s">
        <v>13</v>
      </c>
      <c r="Q104" s="89">
        <v>12</v>
      </c>
      <c r="R104" s="65">
        <v>10</v>
      </c>
      <c r="S104" s="92">
        <v>10</v>
      </c>
      <c r="T104" s="96">
        <v>10</v>
      </c>
    </row>
    <row r="105" spans="1:20" x14ac:dyDescent="0.3">
      <c r="B105" s="100" t="s">
        <v>14</v>
      </c>
      <c r="C105" s="90">
        <v>20</v>
      </c>
      <c r="D105" s="64">
        <v>10</v>
      </c>
      <c r="E105" s="93">
        <v>10</v>
      </c>
      <c r="F105" s="97">
        <v>5</v>
      </c>
      <c r="I105" s="100" t="s">
        <v>14</v>
      </c>
      <c r="J105" s="90">
        <v>10</v>
      </c>
      <c r="K105" s="64">
        <v>10</v>
      </c>
      <c r="L105" s="93">
        <v>10</v>
      </c>
      <c r="M105" s="97">
        <v>10</v>
      </c>
      <c r="P105" s="100" t="s">
        <v>14</v>
      </c>
      <c r="Q105" s="90">
        <v>12</v>
      </c>
      <c r="R105" s="64">
        <v>10</v>
      </c>
      <c r="S105" s="93">
        <v>10</v>
      </c>
      <c r="T105" s="97">
        <v>10</v>
      </c>
    </row>
    <row r="106" spans="1:20" x14ac:dyDescent="0.3">
      <c r="B106" s="100" t="s">
        <v>15</v>
      </c>
      <c r="C106" s="90">
        <v>20</v>
      </c>
      <c r="D106" s="64">
        <v>10</v>
      </c>
      <c r="E106" s="93">
        <v>10</v>
      </c>
      <c r="F106" s="97">
        <v>5</v>
      </c>
      <c r="I106" s="100" t="s">
        <v>15</v>
      </c>
      <c r="J106" s="90">
        <v>10</v>
      </c>
      <c r="K106" s="64">
        <v>10</v>
      </c>
      <c r="L106" s="93">
        <v>10</v>
      </c>
      <c r="M106" s="97">
        <v>10</v>
      </c>
      <c r="P106" s="100" t="s">
        <v>15</v>
      </c>
      <c r="Q106" s="90">
        <v>12</v>
      </c>
      <c r="R106" s="64">
        <v>10</v>
      </c>
      <c r="S106" s="93">
        <v>10</v>
      </c>
      <c r="T106" s="97">
        <v>10</v>
      </c>
    </row>
    <row r="107" spans="1:20" x14ac:dyDescent="0.3">
      <c r="B107" s="100" t="s">
        <v>16</v>
      </c>
      <c r="C107" s="90">
        <v>20</v>
      </c>
      <c r="D107" s="64">
        <v>10</v>
      </c>
      <c r="E107" s="93">
        <v>10</v>
      </c>
      <c r="F107" s="97">
        <v>5</v>
      </c>
      <c r="I107" s="100" t="s">
        <v>16</v>
      </c>
      <c r="J107" s="90">
        <v>10</v>
      </c>
      <c r="K107" s="64">
        <v>10</v>
      </c>
      <c r="L107" s="93">
        <v>10</v>
      </c>
      <c r="M107" s="97">
        <v>10</v>
      </c>
      <c r="P107" s="100" t="s">
        <v>16</v>
      </c>
      <c r="Q107" s="90">
        <v>12</v>
      </c>
      <c r="R107" s="64">
        <v>10</v>
      </c>
      <c r="S107" s="93">
        <v>10</v>
      </c>
      <c r="T107" s="97">
        <v>10</v>
      </c>
    </row>
    <row r="108" spans="1:20" x14ac:dyDescent="0.3">
      <c r="B108" s="100" t="s">
        <v>17</v>
      </c>
      <c r="C108" s="90">
        <v>20</v>
      </c>
      <c r="D108" s="64">
        <v>10</v>
      </c>
      <c r="E108" s="93">
        <v>10</v>
      </c>
      <c r="F108" s="97">
        <v>5</v>
      </c>
      <c r="I108" s="100" t="s">
        <v>17</v>
      </c>
      <c r="J108" s="90">
        <v>10</v>
      </c>
      <c r="K108" s="64">
        <v>10</v>
      </c>
      <c r="L108" s="93">
        <v>10</v>
      </c>
      <c r="M108" s="97">
        <v>10</v>
      </c>
      <c r="P108" s="100" t="s">
        <v>17</v>
      </c>
      <c r="Q108" s="90">
        <v>12</v>
      </c>
      <c r="R108" s="64">
        <v>10</v>
      </c>
      <c r="S108" s="93">
        <v>10</v>
      </c>
      <c r="T108" s="97">
        <v>10</v>
      </c>
    </row>
    <row r="109" spans="1:20" x14ac:dyDescent="0.3">
      <c r="B109" s="100" t="s">
        <v>18</v>
      </c>
      <c r="C109" s="90">
        <v>20</v>
      </c>
      <c r="D109" s="64">
        <v>10</v>
      </c>
      <c r="E109" s="93">
        <v>10</v>
      </c>
      <c r="F109" s="97">
        <v>5</v>
      </c>
      <c r="I109" s="100" t="s">
        <v>18</v>
      </c>
      <c r="J109" s="90">
        <v>10</v>
      </c>
      <c r="K109" s="64">
        <v>10</v>
      </c>
      <c r="L109" s="93">
        <v>10</v>
      </c>
      <c r="M109" s="97">
        <v>10</v>
      </c>
      <c r="P109" s="100" t="s">
        <v>18</v>
      </c>
      <c r="Q109" s="90">
        <v>12</v>
      </c>
      <c r="R109" s="64">
        <v>10</v>
      </c>
      <c r="S109" s="93">
        <v>10</v>
      </c>
      <c r="T109" s="97">
        <v>10</v>
      </c>
    </row>
    <row r="110" spans="1:20" x14ac:dyDescent="0.3">
      <c r="B110" s="100" t="s">
        <v>19</v>
      </c>
      <c r="C110" s="90">
        <v>20</v>
      </c>
      <c r="D110" s="64">
        <v>10</v>
      </c>
      <c r="E110" s="93">
        <v>10</v>
      </c>
      <c r="F110" s="97">
        <v>5</v>
      </c>
      <c r="I110" s="100" t="s">
        <v>19</v>
      </c>
      <c r="J110" s="90">
        <v>10</v>
      </c>
      <c r="K110" s="64">
        <v>10</v>
      </c>
      <c r="L110" s="93">
        <v>10</v>
      </c>
      <c r="M110" s="97">
        <v>10</v>
      </c>
      <c r="P110" s="100" t="s">
        <v>19</v>
      </c>
      <c r="Q110" s="90">
        <v>12</v>
      </c>
      <c r="R110" s="64">
        <v>10</v>
      </c>
      <c r="S110" s="93">
        <v>10</v>
      </c>
      <c r="T110" s="97">
        <v>10</v>
      </c>
    </row>
    <row r="111" spans="1:20" x14ac:dyDescent="0.3">
      <c r="B111" s="100" t="s">
        <v>20</v>
      </c>
      <c r="C111" s="90">
        <v>20</v>
      </c>
      <c r="D111" s="64">
        <v>10</v>
      </c>
      <c r="E111" s="93">
        <v>10</v>
      </c>
      <c r="F111" s="97">
        <v>5</v>
      </c>
      <c r="I111" s="100" t="s">
        <v>20</v>
      </c>
      <c r="J111" s="90">
        <v>10</v>
      </c>
      <c r="K111" s="64">
        <v>10</v>
      </c>
      <c r="L111" s="93">
        <v>10</v>
      </c>
      <c r="M111" s="97">
        <v>10</v>
      </c>
      <c r="P111" s="100" t="s">
        <v>20</v>
      </c>
      <c r="Q111" s="90">
        <v>12</v>
      </c>
      <c r="R111" s="64">
        <v>10</v>
      </c>
      <c r="S111" s="93">
        <v>10</v>
      </c>
      <c r="T111" s="97">
        <v>10</v>
      </c>
    </row>
    <row r="112" spans="1:20" x14ac:dyDescent="0.3">
      <c r="B112" s="100" t="s">
        <v>21</v>
      </c>
      <c r="C112" s="90">
        <v>20</v>
      </c>
      <c r="D112" s="64">
        <v>10</v>
      </c>
      <c r="E112" s="93">
        <v>10</v>
      </c>
      <c r="F112" s="97">
        <v>5</v>
      </c>
      <c r="I112" s="100" t="s">
        <v>21</v>
      </c>
      <c r="J112" s="90">
        <v>10</v>
      </c>
      <c r="K112" s="64">
        <v>10</v>
      </c>
      <c r="L112" s="93">
        <v>10</v>
      </c>
      <c r="M112" s="97">
        <v>10</v>
      </c>
      <c r="P112" s="100" t="s">
        <v>21</v>
      </c>
      <c r="Q112" s="90">
        <v>12</v>
      </c>
      <c r="R112" s="64">
        <v>10</v>
      </c>
      <c r="S112" s="93">
        <v>10</v>
      </c>
      <c r="T112" s="97">
        <v>10</v>
      </c>
    </row>
    <row r="113" spans="2:20" x14ac:dyDescent="0.3">
      <c r="B113" s="100" t="s">
        <v>22</v>
      </c>
      <c r="C113" s="90">
        <v>20</v>
      </c>
      <c r="D113" s="64">
        <v>10</v>
      </c>
      <c r="E113" s="93">
        <v>10</v>
      </c>
      <c r="F113" s="97">
        <v>5</v>
      </c>
      <c r="I113" s="100" t="s">
        <v>22</v>
      </c>
      <c r="J113" s="90">
        <v>10</v>
      </c>
      <c r="K113" s="64">
        <v>10</v>
      </c>
      <c r="L113" s="93">
        <v>10</v>
      </c>
      <c r="M113" s="97">
        <v>10</v>
      </c>
      <c r="P113" s="100" t="s">
        <v>22</v>
      </c>
      <c r="Q113" s="90">
        <v>12</v>
      </c>
      <c r="R113" s="64">
        <v>10</v>
      </c>
      <c r="S113" s="93">
        <v>10</v>
      </c>
      <c r="T113" s="97">
        <v>10</v>
      </c>
    </row>
    <row r="114" spans="2:20" x14ac:dyDescent="0.3">
      <c r="B114" s="100" t="s">
        <v>23</v>
      </c>
      <c r="C114" s="100"/>
      <c r="D114" s="100"/>
      <c r="E114" s="100"/>
      <c r="F114" s="100"/>
      <c r="I114" s="100" t="s">
        <v>23</v>
      </c>
      <c r="J114" s="100"/>
      <c r="K114" s="100"/>
      <c r="L114" s="100"/>
      <c r="M114" s="100"/>
      <c r="P114" s="100" t="s">
        <v>23</v>
      </c>
      <c r="Q114" s="100"/>
      <c r="R114" s="100"/>
      <c r="S114" s="100"/>
      <c r="T114" s="100"/>
    </row>
    <row r="115" spans="2:20" x14ac:dyDescent="0.3">
      <c r="B115" s="100" t="s">
        <v>24</v>
      </c>
      <c r="C115" s="100"/>
      <c r="D115" s="100"/>
      <c r="E115" s="100"/>
      <c r="F115" s="100"/>
      <c r="I115" s="100" t="s">
        <v>24</v>
      </c>
      <c r="J115" s="100"/>
      <c r="K115" s="100"/>
      <c r="L115" s="100"/>
      <c r="M115" s="100"/>
      <c r="P115" s="100" t="s">
        <v>24</v>
      </c>
      <c r="Q115" s="100"/>
      <c r="R115" s="100"/>
      <c r="S115" s="100"/>
      <c r="T115" s="100"/>
    </row>
    <row r="116" spans="2:20" x14ac:dyDescent="0.3">
      <c r="B116" s="100" t="s">
        <v>25</v>
      </c>
      <c r="C116" s="100"/>
      <c r="D116" s="100"/>
      <c r="E116" s="100"/>
      <c r="F116" s="100"/>
      <c r="I116" s="100" t="s">
        <v>25</v>
      </c>
      <c r="J116" s="100"/>
      <c r="K116" s="100"/>
      <c r="L116" s="100"/>
      <c r="M116" s="100"/>
      <c r="P116" s="100" t="s">
        <v>25</v>
      </c>
      <c r="Q116" s="100"/>
      <c r="R116" s="100"/>
      <c r="S116" s="100"/>
      <c r="T116" s="100"/>
    </row>
    <row r="117" spans="2:20" x14ac:dyDescent="0.3">
      <c r="B117" s="100" t="s">
        <v>26</v>
      </c>
      <c r="C117" s="100"/>
      <c r="D117" s="100"/>
      <c r="E117" s="100"/>
      <c r="F117" s="100"/>
      <c r="I117" s="100" t="s">
        <v>26</v>
      </c>
      <c r="J117" s="100"/>
      <c r="K117" s="100"/>
      <c r="L117" s="100"/>
      <c r="M117" s="100"/>
      <c r="P117" s="100" t="s">
        <v>26</v>
      </c>
      <c r="Q117" s="100"/>
      <c r="R117" s="100"/>
      <c r="S117" s="100"/>
      <c r="T117" s="100"/>
    </row>
    <row r="118" spans="2:20" x14ac:dyDescent="0.3">
      <c r="B118" s="100" t="s">
        <v>27</v>
      </c>
      <c r="C118" s="100"/>
      <c r="D118" s="100"/>
      <c r="E118" s="100"/>
      <c r="F118" s="100"/>
      <c r="I118" s="100" t="s">
        <v>27</v>
      </c>
      <c r="J118" s="100"/>
      <c r="K118" s="100"/>
      <c r="L118" s="100"/>
      <c r="M118" s="100"/>
      <c r="P118" s="100" t="s">
        <v>27</v>
      </c>
      <c r="Q118" s="100"/>
      <c r="R118" s="100"/>
      <c r="S118" s="100"/>
      <c r="T118" s="100"/>
    </row>
    <row r="119" spans="2:20" x14ac:dyDescent="0.3">
      <c r="B119" s="100" t="s">
        <v>28</v>
      </c>
      <c r="C119" s="100"/>
      <c r="D119" s="100"/>
      <c r="E119" s="100"/>
      <c r="F119" s="100"/>
      <c r="I119" s="100" t="s">
        <v>28</v>
      </c>
      <c r="J119" s="100"/>
      <c r="K119" s="100"/>
      <c r="L119" s="100"/>
      <c r="M119" s="100"/>
      <c r="P119" s="100" t="s">
        <v>28</v>
      </c>
      <c r="Q119" s="100"/>
      <c r="R119" s="100"/>
      <c r="S119" s="100"/>
      <c r="T119" s="100"/>
    </row>
    <row r="120" spans="2:20" x14ac:dyDescent="0.3">
      <c r="B120" s="100" t="s">
        <v>29</v>
      </c>
      <c r="C120" s="100"/>
      <c r="D120" s="100"/>
      <c r="E120" s="100"/>
      <c r="F120" s="100"/>
      <c r="I120" s="100" t="s">
        <v>29</v>
      </c>
      <c r="J120" s="100"/>
      <c r="K120" s="100"/>
      <c r="L120" s="100"/>
      <c r="M120" s="100"/>
      <c r="P120" s="100" t="s">
        <v>29</v>
      </c>
      <c r="Q120" s="100"/>
      <c r="R120" s="100"/>
      <c r="S120" s="100"/>
      <c r="T120" s="100"/>
    </row>
    <row r="121" spans="2:20" x14ac:dyDescent="0.3">
      <c r="B121" s="100" t="s">
        <v>30</v>
      </c>
      <c r="C121" s="100"/>
      <c r="D121" s="100"/>
      <c r="E121" s="100"/>
      <c r="F121" s="100"/>
      <c r="I121" s="100" t="s">
        <v>30</v>
      </c>
      <c r="J121" s="100"/>
      <c r="K121" s="100"/>
      <c r="L121" s="100"/>
      <c r="M121" s="100"/>
      <c r="P121" s="100" t="s">
        <v>30</v>
      </c>
      <c r="Q121" s="100"/>
      <c r="R121" s="100"/>
      <c r="S121" s="100"/>
      <c r="T121" s="100"/>
    </row>
    <row r="122" spans="2:20" x14ac:dyDescent="0.3">
      <c r="B122" s="100" t="s">
        <v>32</v>
      </c>
      <c r="C122" s="100"/>
      <c r="D122" s="100"/>
      <c r="E122" s="100"/>
      <c r="F122" s="100"/>
      <c r="I122" s="100" t="s">
        <v>32</v>
      </c>
      <c r="J122" s="100"/>
      <c r="K122" s="100"/>
      <c r="L122" s="100"/>
      <c r="M122" s="100"/>
      <c r="P122" s="100" t="s">
        <v>32</v>
      </c>
      <c r="Q122" s="100"/>
      <c r="R122" s="100"/>
      <c r="S122" s="100"/>
      <c r="T122" s="100"/>
    </row>
    <row r="123" spans="2:20" x14ac:dyDescent="0.3">
      <c r="B123" s="100" t="s">
        <v>34</v>
      </c>
      <c r="C123" s="100"/>
      <c r="D123" s="100"/>
      <c r="E123" s="100"/>
      <c r="F123" s="100"/>
      <c r="I123" s="100" t="s">
        <v>34</v>
      </c>
      <c r="J123" s="100"/>
      <c r="K123" s="100"/>
      <c r="L123" s="100"/>
      <c r="M123" s="100"/>
      <c r="P123" s="100" t="s">
        <v>34</v>
      </c>
      <c r="Q123" s="100"/>
      <c r="R123" s="100"/>
      <c r="S123" s="100"/>
      <c r="T123" s="100"/>
    </row>
    <row r="124" spans="2:20" ht="15" thickBot="1" x14ac:dyDescent="0.35">
      <c r="B124" s="101" t="s">
        <v>36</v>
      </c>
      <c r="C124" s="101"/>
      <c r="D124" s="101"/>
      <c r="E124" s="101"/>
      <c r="F124" s="101"/>
      <c r="I124" s="100" t="s">
        <v>36</v>
      </c>
      <c r="J124" s="101"/>
      <c r="K124" s="101"/>
      <c r="L124" s="101"/>
      <c r="M124" s="101"/>
      <c r="P124" s="101" t="s">
        <v>36</v>
      </c>
      <c r="Q124" s="101"/>
      <c r="R124" s="101"/>
      <c r="S124" s="101"/>
      <c r="T124" s="101"/>
    </row>
    <row r="125" spans="2:20" ht="15" thickBot="1" x14ac:dyDescent="0.35"/>
    <row r="126" spans="2:20" x14ac:dyDescent="0.3">
      <c r="B126" s="99" t="s">
        <v>80</v>
      </c>
      <c r="C126" s="99">
        <f>SUM(C104:C124)</f>
        <v>200</v>
      </c>
      <c r="D126" s="99">
        <f>SUM(D104:D124)</f>
        <v>100</v>
      </c>
      <c r="E126" s="102">
        <f>SUM(E104:E124)</f>
        <v>100</v>
      </c>
      <c r="F126" s="99">
        <f>SUM(F104:F124)</f>
        <v>50</v>
      </c>
      <c r="I126" s="99" t="s">
        <v>80</v>
      </c>
      <c r="J126" s="99">
        <f>SUM(J104:J124)</f>
        <v>100</v>
      </c>
      <c r="K126" s="99">
        <f>SUM(K104:K124)</f>
        <v>100</v>
      </c>
      <c r="L126" s="102">
        <f>SUM(L104:L124)</f>
        <v>100</v>
      </c>
      <c r="M126" s="99">
        <f>SUM(M104:M124)</f>
        <v>100</v>
      </c>
      <c r="P126" s="99" t="s">
        <v>80</v>
      </c>
      <c r="Q126" s="99">
        <f>SUM(Q104:Q124)</f>
        <v>120</v>
      </c>
      <c r="R126" s="99">
        <f>SUM(R104:R124)</f>
        <v>100</v>
      </c>
      <c r="S126" s="102">
        <f>SUM(S104:S124)</f>
        <v>100</v>
      </c>
      <c r="T126" s="99">
        <f>SUM(T104:T124)</f>
        <v>100</v>
      </c>
    </row>
    <row r="127" spans="2:20" x14ac:dyDescent="0.3">
      <c r="B127" s="100" t="s">
        <v>39</v>
      </c>
      <c r="C127" s="100">
        <v>195</v>
      </c>
      <c r="D127" s="100">
        <v>100</v>
      </c>
      <c r="E127" s="103">
        <v>50</v>
      </c>
      <c r="F127" s="100">
        <v>40</v>
      </c>
      <c r="I127" s="100" t="s">
        <v>39</v>
      </c>
      <c r="J127" s="100">
        <v>195</v>
      </c>
      <c r="K127" s="100">
        <v>100</v>
      </c>
      <c r="L127" s="103">
        <v>50</v>
      </c>
      <c r="M127" s="100">
        <v>40</v>
      </c>
      <c r="P127" s="100" t="s">
        <v>39</v>
      </c>
      <c r="Q127" s="100">
        <v>195</v>
      </c>
      <c r="R127" s="100">
        <v>100</v>
      </c>
      <c r="S127" s="103">
        <v>50</v>
      </c>
      <c r="T127" s="100">
        <v>40</v>
      </c>
    </row>
    <row r="128" spans="2:20" x14ac:dyDescent="0.3">
      <c r="B128" s="100"/>
      <c r="C128" s="100"/>
      <c r="D128" s="100"/>
      <c r="E128" s="103"/>
      <c r="F128" s="100"/>
      <c r="I128" s="100"/>
      <c r="J128" s="100"/>
      <c r="K128" s="100"/>
      <c r="L128" s="103"/>
      <c r="M128" s="100"/>
      <c r="P128" s="100"/>
      <c r="Q128" s="100"/>
      <c r="R128" s="100"/>
      <c r="S128" s="103"/>
      <c r="T128" s="100"/>
    </row>
    <row r="129" spans="1:20" ht="15" thickBot="1" x14ac:dyDescent="0.35">
      <c r="B129" s="101" t="s">
        <v>81</v>
      </c>
      <c r="C129" s="91">
        <f>SUM(C126,C127)</f>
        <v>395</v>
      </c>
      <c r="D129" s="95">
        <f>SUM(D126,D127)</f>
        <v>200</v>
      </c>
      <c r="E129" s="85">
        <f>SUM(E126,E127)</f>
        <v>150</v>
      </c>
      <c r="F129" s="98">
        <f>SUM(F126,F127)</f>
        <v>90</v>
      </c>
      <c r="I129" s="101" t="s">
        <v>81</v>
      </c>
      <c r="J129" s="91">
        <f>SUM(J126,J127)</f>
        <v>295</v>
      </c>
      <c r="K129" s="95">
        <f>SUM(K126,K127)</f>
        <v>200</v>
      </c>
      <c r="L129" s="85">
        <f>SUM(L126,L127)</f>
        <v>150</v>
      </c>
      <c r="M129" s="98">
        <f>SUM(M126,M127)</f>
        <v>140</v>
      </c>
      <c r="P129" s="101" t="s">
        <v>81</v>
      </c>
      <c r="Q129" s="91">
        <f>SUM(Q126,Q127)</f>
        <v>315</v>
      </c>
      <c r="R129" s="95">
        <f>SUM(R126,R127)</f>
        <v>200</v>
      </c>
      <c r="S129" s="85">
        <f>SUM(S126,S127)</f>
        <v>150</v>
      </c>
      <c r="T129" s="98">
        <f>SUM(T126,T127)</f>
        <v>140</v>
      </c>
    </row>
    <row r="132" spans="1:20" x14ac:dyDescent="0.3">
      <c r="A132" s="104" t="s">
        <v>90</v>
      </c>
    </row>
    <row r="133" spans="1:20" ht="72" x14ac:dyDescent="0.3">
      <c r="A133" s="105" t="s">
        <v>91</v>
      </c>
    </row>
    <row r="134" spans="1:20" ht="15" thickBot="1" x14ac:dyDescent="0.35"/>
    <row r="135" spans="1:20" ht="15" thickBot="1" x14ac:dyDescent="0.35">
      <c r="B135" s="86" t="s">
        <v>75</v>
      </c>
      <c r="C135" s="87" t="s">
        <v>76</v>
      </c>
      <c r="D135" s="87" t="s">
        <v>78</v>
      </c>
      <c r="E135" s="87" t="s">
        <v>77</v>
      </c>
      <c r="F135" s="88" t="s">
        <v>79</v>
      </c>
      <c r="I135" s="86" t="s">
        <v>75</v>
      </c>
      <c r="J135" s="87" t="s">
        <v>76</v>
      </c>
      <c r="K135" s="87" t="s">
        <v>78</v>
      </c>
      <c r="L135" s="87" t="s">
        <v>77</v>
      </c>
      <c r="M135" s="88" t="s">
        <v>79</v>
      </c>
      <c r="P135" s="86" t="s">
        <v>75</v>
      </c>
      <c r="Q135" s="87" t="s">
        <v>76</v>
      </c>
      <c r="R135" s="87" t="s">
        <v>78</v>
      </c>
      <c r="S135" s="87" t="s">
        <v>77</v>
      </c>
      <c r="T135" s="88" t="s">
        <v>79</v>
      </c>
    </row>
    <row r="136" spans="1:20" x14ac:dyDescent="0.3">
      <c r="B136" s="99" t="s">
        <v>13</v>
      </c>
      <c r="C136" s="89">
        <v>20</v>
      </c>
      <c r="D136" s="65">
        <v>10</v>
      </c>
      <c r="E136" s="92">
        <v>10</v>
      </c>
      <c r="F136" s="96">
        <v>5</v>
      </c>
      <c r="I136" s="99" t="s">
        <v>13</v>
      </c>
      <c r="J136" s="89">
        <v>10</v>
      </c>
      <c r="K136" s="65">
        <v>10</v>
      </c>
      <c r="L136" s="92">
        <v>10</v>
      </c>
      <c r="M136" s="96">
        <v>10</v>
      </c>
      <c r="P136" s="99" t="s">
        <v>13</v>
      </c>
      <c r="Q136" s="89">
        <v>12</v>
      </c>
      <c r="R136" s="65">
        <v>10</v>
      </c>
      <c r="S136" s="92">
        <v>10</v>
      </c>
      <c r="T136" s="96">
        <v>10</v>
      </c>
    </row>
    <row r="137" spans="1:20" x14ac:dyDescent="0.3">
      <c r="B137" s="100" t="s">
        <v>14</v>
      </c>
      <c r="C137" s="90">
        <v>20</v>
      </c>
      <c r="D137" s="64">
        <v>10</v>
      </c>
      <c r="E137" s="93">
        <v>10</v>
      </c>
      <c r="F137" s="97">
        <v>5</v>
      </c>
      <c r="I137" s="100" t="s">
        <v>14</v>
      </c>
      <c r="J137" s="90">
        <v>10</v>
      </c>
      <c r="K137" s="64">
        <v>10</v>
      </c>
      <c r="L137" s="93">
        <v>10</v>
      </c>
      <c r="M137" s="97">
        <v>10</v>
      </c>
      <c r="P137" s="100" t="s">
        <v>14</v>
      </c>
      <c r="Q137" s="90">
        <v>12</v>
      </c>
      <c r="R137" s="64">
        <v>10</v>
      </c>
      <c r="S137" s="93">
        <v>10</v>
      </c>
      <c r="T137" s="97">
        <v>10</v>
      </c>
    </row>
    <row r="138" spans="1:20" x14ac:dyDescent="0.3">
      <c r="B138" s="100" t="s">
        <v>15</v>
      </c>
      <c r="C138" s="90">
        <v>20</v>
      </c>
      <c r="D138" s="64">
        <v>10</v>
      </c>
      <c r="E138" s="93">
        <v>10</v>
      </c>
      <c r="F138" s="97">
        <v>5</v>
      </c>
      <c r="I138" s="100" t="s">
        <v>15</v>
      </c>
      <c r="J138" s="90">
        <v>10</v>
      </c>
      <c r="K138" s="64">
        <v>10</v>
      </c>
      <c r="L138" s="93">
        <v>10</v>
      </c>
      <c r="M138" s="97">
        <v>10</v>
      </c>
      <c r="P138" s="100" t="s">
        <v>15</v>
      </c>
      <c r="Q138" s="90">
        <v>12</v>
      </c>
      <c r="R138" s="64">
        <v>10</v>
      </c>
      <c r="S138" s="93">
        <v>10</v>
      </c>
      <c r="T138" s="97">
        <v>10</v>
      </c>
    </row>
    <row r="139" spans="1:20" x14ac:dyDescent="0.3">
      <c r="B139" s="100" t="s">
        <v>16</v>
      </c>
      <c r="C139" s="90">
        <v>20</v>
      </c>
      <c r="D139" s="64">
        <v>10</v>
      </c>
      <c r="E139" s="93">
        <v>10</v>
      </c>
      <c r="F139" s="97">
        <v>5</v>
      </c>
      <c r="I139" s="100" t="s">
        <v>16</v>
      </c>
      <c r="J139" s="90">
        <v>10</v>
      </c>
      <c r="K139" s="64">
        <v>10</v>
      </c>
      <c r="L139" s="93">
        <v>10</v>
      </c>
      <c r="M139" s="97">
        <v>10</v>
      </c>
      <c r="P139" s="100" t="s">
        <v>16</v>
      </c>
      <c r="Q139" s="90">
        <v>12</v>
      </c>
      <c r="R139" s="64">
        <v>10</v>
      </c>
      <c r="S139" s="93">
        <v>10</v>
      </c>
      <c r="T139" s="97">
        <v>10</v>
      </c>
    </row>
    <row r="140" spans="1:20" x14ac:dyDescent="0.3">
      <c r="B140" s="100" t="s">
        <v>17</v>
      </c>
      <c r="C140" s="90">
        <v>20</v>
      </c>
      <c r="D140" s="64">
        <v>10</v>
      </c>
      <c r="E140" s="93">
        <v>10</v>
      </c>
      <c r="F140" s="97">
        <v>5</v>
      </c>
      <c r="I140" s="100" t="s">
        <v>17</v>
      </c>
      <c r="J140" s="90">
        <v>10</v>
      </c>
      <c r="K140" s="64">
        <v>10</v>
      </c>
      <c r="L140" s="93">
        <v>10</v>
      </c>
      <c r="M140" s="97">
        <v>10</v>
      </c>
      <c r="P140" s="100" t="s">
        <v>17</v>
      </c>
      <c r="Q140" s="90">
        <v>12</v>
      </c>
      <c r="R140" s="64">
        <v>10</v>
      </c>
      <c r="S140" s="93">
        <v>10</v>
      </c>
      <c r="T140" s="97">
        <v>10</v>
      </c>
    </row>
    <row r="141" spans="1:20" x14ac:dyDescent="0.3">
      <c r="B141" s="100" t="s">
        <v>18</v>
      </c>
      <c r="C141" s="100"/>
      <c r="D141" s="100"/>
      <c r="E141" s="100"/>
      <c r="F141" s="100"/>
      <c r="I141" s="100" t="s">
        <v>18</v>
      </c>
      <c r="J141" s="100"/>
      <c r="K141" s="100"/>
      <c r="L141" s="100"/>
      <c r="M141" s="100"/>
      <c r="P141" s="100" t="s">
        <v>18</v>
      </c>
      <c r="Q141" s="100"/>
      <c r="R141" s="100"/>
      <c r="S141" s="100"/>
      <c r="T141" s="100"/>
    </row>
    <row r="142" spans="1:20" x14ac:dyDescent="0.3">
      <c r="B142" s="100" t="s">
        <v>19</v>
      </c>
      <c r="C142" s="100"/>
      <c r="D142" s="100"/>
      <c r="E142" s="100"/>
      <c r="F142" s="100"/>
      <c r="I142" s="100" t="s">
        <v>19</v>
      </c>
      <c r="J142" s="100"/>
      <c r="K142" s="100"/>
      <c r="L142" s="100"/>
      <c r="M142" s="100"/>
      <c r="P142" s="100" t="s">
        <v>19</v>
      </c>
      <c r="Q142" s="100"/>
      <c r="R142" s="100"/>
      <c r="S142" s="100"/>
      <c r="T142" s="100"/>
    </row>
    <row r="143" spans="1:20" x14ac:dyDescent="0.3">
      <c r="B143" s="100" t="s">
        <v>20</v>
      </c>
      <c r="C143" s="100"/>
      <c r="D143" s="100"/>
      <c r="E143" s="100"/>
      <c r="F143" s="100"/>
      <c r="I143" s="100" t="s">
        <v>20</v>
      </c>
      <c r="J143" s="100"/>
      <c r="K143" s="100"/>
      <c r="L143" s="100"/>
      <c r="M143" s="100"/>
      <c r="P143" s="100" t="s">
        <v>20</v>
      </c>
      <c r="Q143" s="100"/>
      <c r="R143" s="100"/>
      <c r="S143" s="100"/>
      <c r="T143" s="100"/>
    </row>
    <row r="144" spans="1:20" x14ac:dyDescent="0.3">
      <c r="B144" s="100" t="s">
        <v>21</v>
      </c>
      <c r="C144" s="100"/>
      <c r="D144" s="100"/>
      <c r="E144" s="100"/>
      <c r="F144" s="100"/>
      <c r="I144" s="100" t="s">
        <v>21</v>
      </c>
      <c r="J144" s="100"/>
      <c r="K144" s="100"/>
      <c r="L144" s="100"/>
      <c r="M144" s="100"/>
      <c r="P144" s="100" t="s">
        <v>21</v>
      </c>
      <c r="Q144" s="100"/>
      <c r="R144" s="100"/>
      <c r="S144" s="100"/>
      <c r="T144" s="100"/>
    </row>
    <row r="145" spans="2:20" x14ac:dyDescent="0.3">
      <c r="B145" s="100" t="s">
        <v>22</v>
      </c>
      <c r="C145" s="100"/>
      <c r="D145" s="100"/>
      <c r="E145" s="100"/>
      <c r="F145" s="100"/>
      <c r="I145" s="100" t="s">
        <v>22</v>
      </c>
      <c r="J145" s="100"/>
      <c r="K145" s="100"/>
      <c r="L145" s="100"/>
      <c r="M145" s="100"/>
      <c r="P145" s="100" t="s">
        <v>22</v>
      </c>
      <c r="Q145" s="100"/>
      <c r="R145" s="100"/>
      <c r="S145" s="100"/>
      <c r="T145" s="100"/>
    </row>
    <row r="146" spans="2:20" x14ac:dyDescent="0.3">
      <c r="B146" s="100" t="s">
        <v>23</v>
      </c>
      <c r="C146" s="100"/>
      <c r="D146" s="100"/>
      <c r="E146" s="100"/>
      <c r="F146" s="100"/>
      <c r="I146" s="100" t="s">
        <v>23</v>
      </c>
      <c r="J146" s="100"/>
      <c r="K146" s="100"/>
      <c r="L146" s="100"/>
      <c r="M146" s="100"/>
      <c r="P146" s="100" t="s">
        <v>23</v>
      </c>
      <c r="Q146" s="100"/>
      <c r="R146" s="100"/>
      <c r="S146" s="100"/>
      <c r="T146" s="100"/>
    </row>
    <row r="147" spans="2:20" x14ac:dyDescent="0.3">
      <c r="B147" s="100" t="s">
        <v>24</v>
      </c>
      <c r="C147" s="100"/>
      <c r="D147" s="100"/>
      <c r="E147" s="100"/>
      <c r="F147" s="100"/>
      <c r="I147" s="100" t="s">
        <v>24</v>
      </c>
      <c r="J147" s="100"/>
      <c r="K147" s="100"/>
      <c r="L147" s="100"/>
      <c r="M147" s="100"/>
      <c r="P147" s="100" t="s">
        <v>24</v>
      </c>
      <c r="Q147" s="100"/>
      <c r="R147" s="100"/>
      <c r="S147" s="100"/>
      <c r="T147" s="100"/>
    </row>
    <row r="148" spans="2:20" x14ac:dyDescent="0.3">
      <c r="B148" s="100" t="s">
        <v>25</v>
      </c>
      <c r="C148" s="100"/>
      <c r="D148" s="100"/>
      <c r="E148" s="100"/>
      <c r="F148" s="100"/>
      <c r="I148" s="100" t="s">
        <v>25</v>
      </c>
      <c r="J148" s="100"/>
      <c r="K148" s="100"/>
      <c r="L148" s="100"/>
      <c r="M148" s="100"/>
      <c r="P148" s="100" t="s">
        <v>25</v>
      </c>
      <c r="Q148" s="100"/>
      <c r="R148" s="100"/>
      <c r="S148" s="100"/>
      <c r="T148" s="100"/>
    </row>
    <row r="149" spans="2:20" x14ac:dyDescent="0.3">
      <c r="B149" s="100" t="s">
        <v>26</v>
      </c>
      <c r="C149" s="100"/>
      <c r="D149" s="100"/>
      <c r="E149" s="100"/>
      <c r="F149" s="100"/>
      <c r="I149" s="100" t="s">
        <v>26</v>
      </c>
      <c r="J149" s="100"/>
      <c r="K149" s="100"/>
      <c r="L149" s="100"/>
      <c r="M149" s="100"/>
      <c r="P149" s="100" t="s">
        <v>26</v>
      </c>
      <c r="Q149" s="100"/>
      <c r="R149" s="100"/>
      <c r="S149" s="100"/>
      <c r="T149" s="100"/>
    </row>
    <row r="150" spans="2:20" x14ac:dyDescent="0.3">
      <c r="B150" s="100" t="s">
        <v>27</v>
      </c>
      <c r="C150" s="100"/>
      <c r="D150" s="100"/>
      <c r="E150" s="100"/>
      <c r="F150" s="100"/>
      <c r="I150" s="100" t="s">
        <v>27</v>
      </c>
      <c r="J150" s="100"/>
      <c r="K150" s="100"/>
      <c r="L150" s="100"/>
      <c r="M150" s="100"/>
      <c r="P150" s="100" t="s">
        <v>27</v>
      </c>
      <c r="Q150" s="100"/>
      <c r="R150" s="100"/>
      <c r="S150" s="100"/>
      <c r="T150" s="100"/>
    </row>
    <row r="151" spans="2:20" x14ac:dyDescent="0.3">
      <c r="B151" s="100" t="s">
        <v>28</v>
      </c>
      <c r="C151" s="100"/>
      <c r="D151" s="100"/>
      <c r="E151" s="100"/>
      <c r="F151" s="100"/>
      <c r="I151" s="100" t="s">
        <v>28</v>
      </c>
      <c r="J151" s="100"/>
      <c r="K151" s="100"/>
      <c r="L151" s="100"/>
      <c r="M151" s="100"/>
      <c r="P151" s="100" t="s">
        <v>28</v>
      </c>
      <c r="Q151" s="100"/>
      <c r="R151" s="100"/>
      <c r="S151" s="100"/>
      <c r="T151" s="100"/>
    </row>
    <row r="152" spans="2:20" x14ac:dyDescent="0.3">
      <c r="B152" s="100" t="s">
        <v>29</v>
      </c>
      <c r="C152" s="100"/>
      <c r="D152" s="100"/>
      <c r="E152" s="100"/>
      <c r="F152" s="100"/>
      <c r="I152" s="100" t="s">
        <v>29</v>
      </c>
      <c r="J152" s="100"/>
      <c r="K152" s="100"/>
      <c r="L152" s="100"/>
      <c r="M152" s="100"/>
      <c r="P152" s="100" t="s">
        <v>29</v>
      </c>
      <c r="Q152" s="100"/>
      <c r="R152" s="100"/>
      <c r="S152" s="100"/>
      <c r="T152" s="100"/>
    </row>
    <row r="153" spans="2:20" x14ac:dyDescent="0.3">
      <c r="B153" s="100" t="s">
        <v>30</v>
      </c>
      <c r="C153" s="100"/>
      <c r="D153" s="100"/>
      <c r="E153" s="100"/>
      <c r="F153" s="100"/>
      <c r="I153" s="100" t="s">
        <v>30</v>
      </c>
      <c r="J153" s="100"/>
      <c r="K153" s="100"/>
      <c r="L153" s="100"/>
      <c r="M153" s="100"/>
      <c r="P153" s="100" t="s">
        <v>30</v>
      </c>
      <c r="Q153" s="100"/>
      <c r="R153" s="100"/>
      <c r="S153" s="100"/>
      <c r="T153" s="100"/>
    </row>
    <row r="154" spans="2:20" x14ac:dyDescent="0.3">
      <c r="B154" s="100" t="s">
        <v>32</v>
      </c>
      <c r="C154" s="100"/>
      <c r="D154" s="100"/>
      <c r="E154" s="100"/>
      <c r="F154" s="100"/>
      <c r="I154" s="100" t="s">
        <v>32</v>
      </c>
      <c r="J154" s="100"/>
      <c r="K154" s="100"/>
      <c r="L154" s="100"/>
      <c r="M154" s="100"/>
      <c r="P154" s="100" t="s">
        <v>32</v>
      </c>
      <c r="Q154" s="100"/>
      <c r="R154" s="100"/>
      <c r="S154" s="100"/>
      <c r="T154" s="100"/>
    </row>
    <row r="155" spans="2:20" x14ac:dyDescent="0.3">
      <c r="B155" s="100" t="s">
        <v>34</v>
      </c>
      <c r="C155" s="100"/>
      <c r="D155" s="100"/>
      <c r="E155" s="100"/>
      <c r="F155" s="100"/>
      <c r="I155" s="100" t="s">
        <v>34</v>
      </c>
      <c r="J155" s="100"/>
      <c r="K155" s="100"/>
      <c r="L155" s="100"/>
      <c r="M155" s="100"/>
      <c r="P155" s="100" t="s">
        <v>34</v>
      </c>
      <c r="Q155" s="100"/>
      <c r="R155" s="100"/>
      <c r="S155" s="100"/>
      <c r="T155" s="100"/>
    </row>
    <row r="156" spans="2:20" ht="15" thickBot="1" x14ac:dyDescent="0.35">
      <c r="B156" s="101" t="s">
        <v>36</v>
      </c>
      <c r="C156" s="101"/>
      <c r="D156" s="101"/>
      <c r="E156" s="101"/>
      <c r="F156" s="101"/>
      <c r="I156" s="100" t="s">
        <v>36</v>
      </c>
      <c r="J156" s="101"/>
      <c r="K156" s="101"/>
      <c r="L156" s="101"/>
      <c r="M156" s="101"/>
      <c r="P156" s="101" t="s">
        <v>36</v>
      </c>
      <c r="Q156" s="101"/>
      <c r="R156" s="101"/>
      <c r="S156" s="101"/>
      <c r="T156" s="101"/>
    </row>
    <row r="157" spans="2:20" ht="15" thickBot="1" x14ac:dyDescent="0.35"/>
    <row r="158" spans="2:20" x14ac:dyDescent="0.3">
      <c r="B158" s="99" t="s">
        <v>80</v>
      </c>
      <c r="C158" s="99">
        <f>SUM(C136:C156)</f>
        <v>100</v>
      </c>
      <c r="D158" s="99">
        <f>SUM(D136:D156)</f>
        <v>50</v>
      </c>
      <c r="E158" s="102">
        <f>SUM(E136:E156)</f>
        <v>50</v>
      </c>
      <c r="F158" s="99">
        <f>SUM(F136:F156)</f>
        <v>25</v>
      </c>
      <c r="I158" s="99" t="s">
        <v>80</v>
      </c>
      <c r="J158" s="99">
        <f>SUM(J136:J156)</f>
        <v>50</v>
      </c>
      <c r="K158" s="99">
        <f>SUM(K136:K156)</f>
        <v>50</v>
      </c>
      <c r="L158" s="102">
        <f>SUM(L136:L156)</f>
        <v>50</v>
      </c>
      <c r="M158" s="99">
        <f>SUM(M136:M156)</f>
        <v>50</v>
      </c>
      <c r="P158" s="99" t="s">
        <v>80</v>
      </c>
      <c r="Q158" s="99">
        <f>SUM(Q136:Q156)</f>
        <v>60</v>
      </c>
      <c r="R158" s="99">
        <f>SUM(R136:R156)</f>
        <v>50</v>
      </c>
      <c r="S158" s="102">
        <f>SUM(S136:S156)</f>
        <v>50</v>
      </c>
      <c r="T158" s="99">
        <f>SUM(T136:T156)</f>
        <v>50</v>
      </c>
    </row>
    <row r="159" spans="2:20" x14ac:dyDescent="0.3">
      <c r="B159" s="100" t="s">
        <v>39</v>
      </c>
      <c r="C159" s="100">
        <v>195</v>
      </c>
      <c r="D159" s="100">
        <v>100</v>
      </c>
      <c r="E159" s="103">
        <v>50</v>
      </c>
      <c r="F159" s="100">
        <v>40</v>
      </c>
      <c r="I159" s="100" t="s">
        <v>39</v>
      </c>
      <c r="J159" s="100">
        <v>195</v>
      </c>
      <c r="K159" s="100">
        <v>100</v>
      </c>
      <c r="L159" s="103">
        <v>50</v>
      </c>
      <c r="M159" s="100">
        <v>40</v>
      </c>
      <c r="P159" s="100" t="s">
        <v>39</v>
      </c>
      <c r="Q159" s="100">
        <v>195</v>
      </c>
      <c r="R159" s="100">
        <v>100</v>
      </c>
      <c r="S159" s="103">
        <v>50</v>
      </c>
      <c r="T159" s="100">
        <v>40</v>
      </c>
    </row>
    <row r="160" spans="2:20" x14ac:dyDescent="0.3">
      <c r="B160" s="100"/>
      <c r="C160" s="100"/>
      <c r="D160" s="100"/>
      <c r="E160" s="103"/>
      <c r="F160" s="100"/>
      <c r="I160" s="100"/>
      <c r="J160" s="100"/>
      <c r="K160" s="100"/>
      <c r="L160" s="103"/>
      <c r="M160" s="100"/>
      <c r="P160" s="100"/>
      <c r="Q160" s="100"/>
      <c r="R160" s="100"/>
      <c r="S160" s="103"/>
      <c r="T160" s="100"/>
    </row>
    <row r="161" spans="1:20" ht="15" thickBot="1" x14ac:dyDescent="0.35">
      <c r="B161" s="101" t="s">
        <v>81</v>
      </c>
      <c r="C161" s="91">
        <f>SUM(C158,C159)</f>
        <v>295</v>
      </c>
      <c r="D161" s="95">
        <f>SUM(D158,D159)</f>
        <v>150</v>
      </c>
      <c r="E161" s="85">
        <f>SUM(E158,E159)</f>
        <v>100</v>
      </c>
      <c r="F161" s="98">
        <f>SUM(F158,F159)</f>
        <v>65</v>
      </c>
      <c r="I161" s="101" t="s">
        <v>81</v>
      </c>
      <c r="J161" s="91">
        <f>SUM(J158,J159)</f>
        <v>245</v>
      </c>
      <c r="K161" s="95">
        <f>SUM(K158,K159)</f>
        <v>150</v>
      </c>
      <c r="L161" s="85">
        <f>SUM(L158,L159)</f>
        <v>100</v>
      </c>
      <c r="M161" s="98">
        <f>SUM(M158,M159)</f>
        <v>90</v>
      </c>
      <c r="P161" s="101" t="s">
        <v>81</v>
      </c>
      <c r="Q161" s="91">
        <f>SUM(Q158,Q159)</f>
        <v>255</v>
      </c>
      <c r="R161" s="95">
        <f>SUM(R158,R159)</f>
        <v>150</v>
      </c>
      <c r="S161" s="85">
        <f>SUM(S158,S159)</f>
        <v>100</v>
      </c>
      <c r="T161" s="98">
        <f>SUM(T158,T159)</f>
        <v>90</v>
      </c>
    </row>
    <row r="165" spans="1:20" x14ac:dyDescent="0.3">
      <c r="A165" s="104" t="s">
        <v>92</v>
      </c>
    </row>
    <row r="166" spans="1:20" ht="72" x14ac:dyDescent="0.3">
      <c r="A166" s="105" t="s">
        <v>93</v>
      </c>
    </row>
    <row r="167" spans="1:20" ht="15" thickBot="1" x14ac:dyDescent="0.35"/>
    <row r="168" spans="1:20" ht="15" thickBot="1" x14ac:dyDescent="0.35">
      <c r="B168" s="86" t="s">
        <v>75</v>
      </c>
      <c r="C168" s="87" t="s">
        <v>76</v>
      </c>
      <c r="D168" s="87" t="s">
        <v>78</v>
      </c>
      <c r="E168" s="87" t="s">
        <v>77</v>
      </c>
      <c r="F168" s="88" t="s">
        <v>79</v>
      </c>
      <c r="I168" s="86" t="s">
        <v>75</v>
      </c>
      <c r="J168" s="87" t="s">
        <v>76</v>
      </c>
      <c r="K168" s="87" t="s">
        <v>78</v>
      </c>
      <c r="L168" s="87" t="s">
        <v>77</v>
      </c>
      <c r="M168" s="88" t="s">
        <v>79</v>
      </c>
      <c r="P168" s="86" t="s">
        <v>75</v>
      </c>
      <c r="Q168" s="87" t="s">
        <v>76</v>
      </c>
      <c r="R168" s="87" t="s">
        <v>78</v>
      </c>
      <c r="S168" s="87" t="s">
        <v>77</v>
      </c>
      <c r="T168" s="88" t="s">
        <v>79</v>
      </c>
    </row>
    <row r="169" spans="1:20" x14ac:dyDescent="0.3">
      <c r="B169" s="99" t="s">
        <v>13</v>
      </c>
      <c r="C169" s="89">
        <v>20</v>
      </c>
      <c r="D169" s="65">
        <v>10</v>
      </c>
      <c r="E169" s="92">
        <v>10</v>
      </c>
      <c r="F169" s="96">
        <v>5</v>
      </c>
      <c r="I169" s="99" t="s">
        <v>13</v>
      </c>
      <c r="J169" s="89">
        <v>10</v>
      </c>
      <c r="K169" s="65">
        <v>10</v>
      </c>
      <c r="L169" s="92">
        <v>10</v>
      </c>
      <c r="M169" s="96">
        <v>10</v>
      </c>
      <c r="P169" s="99" t="s">
        <v>13</v>
      </c>
      <c r="Q169" s="89">
        <v>12</v>
      </c>
      <c r="R169" s="65">
        <v>10</v>
      </c>
      <c r="S169" s="92">
        <v>10</v>
      </c>
      <c r="T169" s="96">
        <v>10</v>
      </c>
    </row>
    <row r="170" spans="1:20" x14ac:dyDescent="0.3">
      <c r="B170" s="100" t="s">
        <v>14</v>
      </c>
      <c r="C170" s="90">
        <v>20</v>
      </c>
      <c r="D170" s="64">
        <v>10</v>
      </c>
      <c r="E170" s="93">
        <v>10</v>
      </c>
      <c r="F170" s="97">
        <v>5</v>
      </c>
      <c r="I170" s="100" t="s">
        <v>14</v>
      </c>
      <c r="J170" s="90">
        <v>10</v>
      </c>
      <c r="K170" s="64">
        <v>10</v>
      </c>
      <c r="L170" s="93">
        <v>10</v>
      </c>
      <c r="M170" s="97">
        <v>10</v>
      </c>
      <c r="P170" s="100" t="s">
        <v>14</v>
      </c>
      <c r="Q170" s="90">
        <v>12</v>
      </c>
      <c r="R170" s="64">
        <v>10</v>
      </c>
      <c r="S170" s="93">
        <v>10</v>
      </c>
      <c r="T170" s="97">
        <v>10</v>
      </c>
    </row>
    <row r="171" spans="1:20" x14ac:dyDescent="0.3">
      <c r="B171" s="100" t="s">
        <v>15</v>
      </c>
      <c r="C171" s="90">
        <v>20</v>
      </c>
      <c r="D171" s="64">
        <v>10</v>
      </c>
      <c r="E171" s="93">
        <v>10</v>
      </c>
      <c r="F171" s="97">
        <v>5</v>
      </c>
      <c r="I171" s="100" t="s">
        <v>15</v>
      </c>
      <c r="J171" s="90">
        <v>10</v>
      </c>
      <c r="K171" s="64">
        <v>10</v>
      </c>
      <c r="L171" s="93">
        <v>10</v>
      </c>
      <c r="M171" s="97">
        <v>10</v>
      </c>
      <c r="P171" s="100" t="s">
        <v>15</v>
      </c>
      <c r="Q171" s="90">
        <v>12</v>
      </c>
      <c r="R171" s="64">
        <v>10</v>
      </c>
      <c r="S171" s="93">
        <v>10</v>
      </c>
      <c r="T171" s="97">
        <v>10</v>
      </c>
    </row>
    <row r="172" spans="1:20" x14ac:dyDescent="0.3">
      <c r="B172" s="100" t="s">
        <v>16</v>
      </c>
      <c r="C172" s="90">
        <v>20</v>
      </c>
      <c r="D172" s="64">
        <v>10</v>
      </c>
      <c r="E172" s="93">
        <v>10</v>
      </c>
      <c r="F172" s="97">
        <v>5</v>
      </c>
      <c r="I172" s="100" t="s">
        <v>16</v>
      </c>
      <c r="J172" s="90">
        <v>10</v>
      </c>
      <c r="K172" s="64">
        <v>10</v>
      </c>
      <c r="L172" s="93">
        <v>10</v>
      </c>
      <c r="M172" s="97">
        <v>10</v>
      </c>
      <c r="P172" s="100" t="s">
        <v>16</v>
      </c>
      <c r="Q172" s="90">
        <v>12</v>
      </c>
      <c r="R172" s="64">
        <v>10</v>
      </c>
      <c r="S172" s="93">
        <v>10</v>
      </c>
      <c r="T172" s="97">
        <v>10</v>
      </c>
    </row>
    <row r="173" spans="1:20" x14ac:dyDescent="0.3">
      <c r="B173" s="100" t="s">
        <v>17</v>
      </c>
      <c r="C173" s="90">
        <v>20</v>
      </c>
      <c r="D173" s="64">
        <v>10</v>
      </c>
      <c r="E173" s="93">
        <v>10</v>
      </c>
      <c r="F173" s="97">
        <v>5</v>
      </c>
      <c r="I173" s="100" t="s">
        <v>17</v>
      </c>
      <c r="J173" s="90">
        <v>10</v>
      </c>
      <c r="K173" s="64">
        <v>10</v>
      </c>
      <c r="L173" s="93">
        <v>10</v>
      </c>
      <c r="M173" s="97">
        <v>10</v>
      </c>
      <c r="P173" s="100" t="s">
        <v>17</v>
      </c>
      <c r="Q173" s="90">
        <v>12</v>
      </c>
      <c r="R173" s="64">
        <v>10</v>
      </c>
      <c r="S173" s="93">
        <v>10</v>
      </c>
      <c r="T173" s="97">
        <v>10</v>
      </c>
    </row>
    <row r="174" spans="1:20" x14ac:dyDescent="0.3">
      <c r="B174" s="100" t="s">
        <v>18</v>
      </c>
      <c r="C174" s="90">
        <v>20</v>
      </c>
      <c r="D174" s="64">
        <v>10</v>
      </c>
      <c r="E174" s="93">
        <v>10</v>
      </c>
      <c r="F174" s="97">
        <v>5</v>
      </c>
      <c r="I174" s="100" t="s">
        <v>18</v>
      </c>
      <c r="J174" s="90">
        <v>10</v>
      </c>
      <c r="K174" s="64">
        <v>10</v>
      </c>
      <c r="L174" s="93">
        <v>10</v>
      </c>
      <c r="M174" s="97">
        <v>10</v>
      </c>
      <c r="P174" s="100" t="s">
        <v>18</v>
      </c>
      <c r="Q174" s="90">
        <v>12</v>
      </c>
      <c r="R174" s="64">
        <v>10</v>
      </c>
      <c r="S174" s="93">
        <v>10</v>
      </c>
      <c r="T174" s="97">
        <v>10</v>
      </c>
    </row>
    <row r="175" spans="1:20" x14ac:dyDescent="0.3">
      <c r="B175" s="100" t="s">
        <v>19</v>
      </c>
      <c r="C175" s="90">
        <v>20</v>
      </c>
      <c r="D175" s="64">
        <v>10</v>
      </c>
      <c r="E175" s="93">
        <v>10</v>
      </c>
      <c r="F175" s="97">
        <v>5</v>
      </c>
      <c r="I175" s="100" t="s">
        <v>19</v>
      </c>
      <c r="J175" s="90">
        <v>10</v>
      </c>
      <c r="K175" s="64">
        <v>10</v>
      </c>
      <c r="L175" s="93">
        <v>10</v>
      </c>
      <c r="M175" s="97">
        <v>10</v>
      </c>
      <c r="P175" s="100" t="s">
        <v>19</v>
      </c>
      <c r="Q175" s="90">
        <v>12</v>
      </c>
      <c r="R175" s="64">
        <v>10</v>
      </c>
      <c r="S175" s="93">
        <v>10</v>
      </c>
      <c r="T175" s="97">
        <v>10</v>
      </c>
    </row>
    <row r="176" spans="1:20" x14ac:dyDescent="0.3">
      <c r="B176" s="100" t="s">
        <v>20</v>
      </c>
      <c r="C176" s="90">
        <v>20</v>
      </c>
      <c r="D176" s="64">
        <v>10</v>
      </c>
      <c r="E176" s="93">
        <v>10</v>
      </c>
      <c r="F176" s="97">
        <v>5</v>
      </c>
      <c r="I176" s="100" t="s">
        <v>20</v>
      </c>
      <c r="J176" s="90">
        <v>10</v>
      </c>
      <c r="K176" s="64">
        <v>10</v>
      </c>
      <c r="L176" s="93">
        <v>10</v>
      </c>
      <c r="M176" s="97">
        <v>10</v>
      </c>
      <c r="P176" s="100" t="s">
        <v>20</v>
      </c>
      <c r="Q176" s="90">
        <v>12</v>
      </c>
      <c r="R176" s="64">
        <v>10</v>
      </c>
      <c r="S176" s="93">
        <v>10</v>
      </c>
      <c r="T176" s="97">
        <v>10</v>
      </c>
    </row>
    <row r="177" spans="2:20" x14ac:dyDescent="0.3">
      <c r="B177" s="100" t="s">
        <v>21</v>
      </c>
      <c r="C177" s="90">
        <v>20</v>
      </c>
      <c r="D177" s="64">
        <v>10</v>
      </c>
      <c r="E177" s="93">
        <v>10</v>
      </c>
      <c r="F177" s="97">
        <v>5</v>
      </c>
      <c r="I177" s="100" t="s">
        <v>21</v>
      </c>
      <c r="J177" s="90">
        <v>10</v>
      </c>
      <c r="K177" s="64">
        <v>10</v>
      </c>
      <c r="L177" s="93">
        <v>10</v>
      </c>
      <c r="M177" s="97">
        <v>10</v>
      </c>
      <c r="P177" s="100" t="s">
        <v>21</v>
      </c>
      <c r="Q177" s="90">
        <v>12</v>
      </c>
      <c r="R177" s="64">
        <v>10</v>
      </c>
      <c r="S177" s="93">
        <v>10</v>
      </c>
      <c r="T177" s="97">
        <v>10</v>
      </c>
    </row>
    <row r="178" spans="2:20" x14ac:dyDescent="0.3">
      <c r="B178" s="100" t="s">
        <v>22</v>
      </c>
      <c r="C178" s="90">
        <v>20</v>
      </c>
      <c r="D178" s="64">
        <v>10</v>
      </c>
      <c r="E178" s="93">
        <v>10</v>
      </c>
      <c r="F178" s="97">
        <v>5</v>
      </c>
      <c r="I178" s="100" t="s">
        <v>22</v>
      </c>
      <c r="J178" s="90">
        <v>10</v>
      </c>
      <c r="K178" s="64">
        <v>10</v>
      </c>
      <c r="L178" s="93">
        <v>10</v>
      </c>
      <c r="M178" s="97">
        <v>10</v>
      </c>
      <c r="P178" s="100" t="s">
        <v>22</v>
      </c>
      <c r="Q178" s="90">
        <v>12</v>
      </c>
      <c r="R178" s="64">
        <v>10</v>
      </c>
      <c r="S178" s="93">
        <v>10</v>
      </c>
      <c r="T178" s="97">
        <v>10</v>
      </c>
    </row>
    <row r="179" spans="2:20" x14ac:dyDescent="0.3">
      <c r="B179" s="100" t="s">
        <v>23</v>
      </c>
      <c r="C179" s="100"/>
      <c r="D179" s="100"/>
      <c r="E179" s="100"/>
      <c r="F179" s="100"/>
      <c r="I179" s="100" t="s">
        <v>23</v>
      </c>
      <c r="J179" s="100"/>
      <c r="K179" s="100"/>
      <c r="L179" s="100"/>
      <c r="M179" s="100"/>
      <c r="P179" s="100" t="s">
        <v>23</v>
      </c>
      <c r="Q179" s="100"/>
      <c r="R179" s="100"/>
      <c r="S179" s="100"/>
      <c r="T179" s="100"/>
    </row>
    <row r="180" spans="2:20" x14ac:dyDescent="0.3">
      <c r="B180" s="100" t="s">
        <v>24</v>
      </c>
      <c r="C180" s="100"/>
      <c r="D180" s="100"/>
      <c r="E180" s="100"/>
      <c r="F180" s="100"/>
      <c r="I180" s="100" t="s">
        <v>24</v>
      </c>
      <c r="J180" s="100"/>
      <c r="K180" s="100"/>
      <c r="L180" s="100"/>
      <c r="M180" s="100"/>
      <c r="P180" s="100" t="s">
        <v>24</v>
      </c>
      <c r="Q180" s="100"/>
      <c r="R180" s="100"/>
      <c r="S180" s="100"/>
      <c r="T180" s="100"/>
    </row>
    <row r="181" spans="2:20" x14ac:dyDescent="0.3">
      <c r="B181" s="100" t="s">
        <v>25</v>
      </c>
      <c r="C181" s="100"/>
      <c r="D181" s="100"/>
      <c r="E181" s="100"/>
      <c r="F181" s="100"/>
      <c r="I181" s="100" t="s">
        <v>25</v>
      </c>
      <c r="J181" s="100"/>
      <c r="K181" s="100"/>
      <c r="L181" s="100"/>
      <c r="M181" s="100"/>
      <c r="P181" s="100" t="s">
        <v>25</v>
      </c>
      <c r="Q181" s="100"/>
      <c r="R181" s="100"/>
      <c r="S181" s="100"/>
      <c r="T181" s="100"/>
    </row>
    <row r="182" spans="2:20" x14ac:dyDescent="0.3">
      <c r="B182" s="100" t="s">
        <v>26</v>
      </c>
      <c r="C182" s="100"/>
      <c r="D182" s="100"/>
      <c r="E182" s="100"/>
      <c r="F182" s="100"/>
      <c r="I182" s="100" t="s">
        <v>26</v>
      </c>
      <c r="J182" s="100"/>
      <c r="K182" s="100"/>
      <c r="L182" s="100"/>
      <c r="M182" s="100"/>
      <c r="P182" s="100" t="s">
        <v>26</v>
      </c>
      <c r="Q182" s="100"/>
      <c r="R182" s="100"/>
      <c r="S182" s="100"/>
      <c r="T182" s="100"/>
    </row>
    <row r="183" spans="2:20" x14ac:dyDescent="0.3">
      <c r="B183" s="100" t="s">
        <v>27</v>
      </c>
      <c r="C183" s="100"/>
      <c r="D183" s="100"/>
      <c r="E183" s="100"/>
      <c r="F183" s="100"/>
      <c r="I183" s="100" t="s">
        <v>27</v>
      </c>
      <c r="J183" s="100"/>
      <c r="K183" s="100"/>
      <c r="L183" s="100"/>
      <c r="M183" s="100"/>
      <c r="P183" s="100" t="s">
        <v>27</v>
      </c>
      <c r="Q183" s="100"/>
      <c r="R183" s="100"/>
      <c r="S183" s="100"/>
      <c r="T183" s="100"/>
    </row>
    <row r="184" spans="2:20" x14ac:dyDescent="0.3">
      <c r="B184" s="100" t="s">
        <v>28</v>
      </c>
      <c r="C184" s="100"/>
      <c r="D184" s="100"/>
      <c r="E184" s="100"/>
      <c r="F184" s="100"/>
      <c r="I184" s="100" t="s">
        <v>28</v>
      </c>
      <c r="J184" s="100"/>
      <c r="K184" s="100"/>
      <c r="L184" s="100"/>
      <c r="M184" s="100"/>
      <c r="P184" s="100" t="s">
        <v>28</v>
      </c>
      <c r="Q184" s="100"/>
      <c r="R184" s="100"/>
      <c r="S184" s="100"/>
      <c r="T184" s="100"/>
    </row>
    <row r="185" spans="2:20" x14ac:dyDescent="0.3">
      <c r="B185" s="100" t="s">
        <v>29</v>
      </c>
      <c r="C185" s="100"/>
      <c r="D185" s="100"/>
      <c r="E185" s="100"/>
      <c r="F185" s="100"/>
      <c r="I185" s="100" t="s">
        <v>29</v>
      </c>
      <c r="J185" s="100"/>
      <c r="K185" s="100"/>
      <c r="L185" s="100"/>
      <c r="M185" s="100"/>
      <c r="P185" s="100" t="s">
        <v>29</v>
      </c>
      <c r="Q185" s="100"/>
      <c r="R185" s="100"/>
      <c r="S185" s="100"/>
      <c r="T185" s="100"/>
    </row>
    <row r="186" spans="2:20" x14ac:dyDescent="0.3">
      <c r="B186" s="100" t="s">
        <v>30</v>
      </c>
      <c r="C186" s="100"/>
      <c r="D186" s="100"/>
      <c r="E186" s="100"/>
      <c r="F186" s="100"/>
      <c r="I186" s="100" t="s">
        <v>30</v>
      </c>
      <c r="J186" s="100"/>
      <c r="K186" s="100"/>
      <c r="L186" s="100"/>
      <c r="M186" s="100"/>
      <c r="P186" s="100" t="s">
        <v>30</v>
      </c>
      <c r="Q186" s="100"/>
      <c r="R186" s="100"/>
      <c r="S186" s="100"/>
      <c r="T186" s="100"/>
    </row>
    <row r="187" spans="2:20" x14ac:dyDescent="0.3">
      <c r="B187" s="100" t="s">
        <v>32</v>
      </c>
      <c r="C187" s="100"/>
      <c r="D187" s="100"/>
      <c r="E187" s="100"/>
      <c r="F187" s="100"/>
      <c r="I187" s="100" t="s">
        <v>32</v>
      </c>
      <c r="J187" s="100"/>
      <c r="K187" s="100"/>
      <c r="L187" s="100"/>
      <c r="M187" s="100"/>
      <c r="P187" s="100" t="s">
        <v>32</v>
      </c>
      <c r="Q187" s="100"/>
      <c r="R187" s="100"/>
      <c r="S187" s="100"/>
      <c r="T187" s="100"/>
    </row>
    <row r="188" spans="2:20" x14ac:dyDescent="0.3">
      <c r="B188" s="100" t="s">
        <v>34</v>
      </c>
      <c r="C188" s="100"/>
      <c r="D188" s="100"/>
      <c r="E188" s="100"/>
      <c r="F188" s="100"/>
      <c r="I188" s="100" t="s">
        <v>34</v>
      </c>
      <c r="J188" s="100"/>
      <c r="K188" s="100"/>
      <c r="L188" s="100"/>
      <c r="M188" s="100"/>
      <c r="P188" s="100" t="s">
        <v>34</v>
      </c>
      <c r="Q188" s="100"/>
      <c r="R188" s="100"/>
      <c r="S188" s="100"/>
      <c r="T188" s="100"/>
    </row>
    <row r="189" spans="2:20" ht="15" thickBot="1" x14ac:dyDescent="0.35">
      <c r="B189" s="101" t="s">
        <v>36</v>
      </c>
      <c r="C189" s="101"/>
      <c r="D189" s="101"/>
      <c r="E189" s="101"/>
      <c r="F189" s="101"/>
      <c r="I189" s="100" t="s">
        <v>36</v>
      </c>
      <c r="J189" s="101"/>
      <c r="K189" s="101"/>
      <c r="L189" s="101"/>
      <c r="M189" s="101"/>
      <c r="P189" s="101" t="s">
        <v>36</v>
      </c>
      <c r="Q189" s="101"/>
      <c r="R189" s="101"/>
      <c r="S189" s="101"/>
      <c r="T189" s="101"/>
    </row>
    <row r="190" spans="2:20" ht="15" thickBot="1" x14ac:dyDescent="0.35"/>
    <row r="191" spans="2:20" x14ac:dyDescent="0.3">
      <c r="B191" s="99" t="s">
        <v>80</v>
      </c>
      <c r="C191" s="99">
        <f>SUM(C169:C189)</f>
        <v>200</v>
      </c>
      <c r="D191" s="99">
        <f>SUM(D169:D189)</f>
        <v>100</v>
      </c>
      <c r="E191" s="102">
        <f>SUM(E169:E189)</f>
        <v>100</v>
      </c>
      <c r="F191" s="99">
        <f>SUM(F169:F189)</f>
        <v>50</v>
      </c>
      <c r="I191" s="99" t="s">
        <v>80</v>
      </c>
      <c r="J191" s="99">
        <f>SUM(J169:J189)</f>
        <v>100</v>
      </c>
      <c r="K191" s="99">
        <f>SUM(K169:K189)</f>
        <v>100</v>
      </c>
      <c r="L191" s="102">
        <f>SUM(L169:L189)</f>
        <v>100</v>
      </c>
      <c r="M191" s="99">
        <f>SUM(M169:M189)</f>
        <v>100</v>
      </c>
      <c r="P191" s="99" t="s">
        <v>80</v>
      </c>
      <c r="Q191" s="99">
        <f>SUM(Q169:Q189)</f>
        <v>120</v>
      </c>
      <c r="R191" s="99">
        <f>SUM(R169:R189)</f>
        <v>100</v>
      </c>
      <c r="S191" s="102">
        <f>SUM(S169:S189)</f>
        <v>100</v>
      </c>
      <c r="T191" s="99">
        <f>SUM(T169:T189)</f>
        <v>100</v>
      </c>
    </row>
    <row r="192" spans="2:20" x14ac:dyDescent="0.3">
      <c r="B192" s="100" t="s">
        <v>39</v>
      </c>
      <c r="C192" s="100">
        <v>135</v>
      </c>
      <c r="D192" s="100">
        <v>60</v>
      </c>
      <c r="E192" s="103">
        <v>30</v>
      </c>
      <c r="F192" s="100">
        <v>25</v>
      </c>
      <c r="I192" s="100" t="s">
        <v>39</v>
      </c>
      <c r="J192" s="100">
        <v>135</v>
      </c>
      <c r="K192" s="100">
        <v>60</v>
      </c>
      <c r="L192" s="103">
        <v>30</v>
      </c>
      <c r="M192" s="100">
        <v>25</v>
      </c>
      <c r="P192" s="100" t="s">
        <v>39</v>
      </c>
      <c r="Q192" s="100">
        <v>135</v>
      </c>
      <c r="R192" s="100">
        <v>60</v>
      </c>
      <c r="S192" s="103">
        <v>30</v>
      </c>
      <c r="T192" s="100">
        <v>25</v>
      </c>
    </row>
    <row r="193" spans="1:20" x14ac:dyDescent="0.3">
      <c r="B193" s="100"/>
      <c r="C193" s="100"/>
      <c r="D193" s="100"/>
      <c r="E193" s="103"/>
      <c r="F193" s="100"/>
      <c r="I193" s="100"/>
      <c r="J193" s="100"/>
      <c r="K193" s="100"/>
      <c r="L193" s="103"/>
      <c r="M193" s="100"/>
      <c r="P193" s="100"/>
      <c r="Q193" s="100"/>
      <c r="R193" s="100"/>
      <c r="S193" s="103"/>
      <c r="T193" s="100"/>
    </row>
    <row r="194" spans="1:20" ht="15" thickBot="1" x14ac:dyDescent="0.35">
      <c r="B194" s="101" t="s">
        <v>81</v>
      </c>
      <c r="C194" s="91">
        <f>SUM(C191,C192)</f>
        <v>335</v>
      </c>
      <c r="D194" s="95">
        <f>SUM(D191,D192)</f>
        <v>160</v>
      </c>
      <c r="E194" s="85">
        <f>SUM(E191,E192)</f>
        <v>130</v>
      </c>
      <c r="F194" s="98">
        <f>SUM(F191,F192)</f>
        <v>75</v>
      </c>
      <c r="I194" s="101" t="s">
        <v>81</v>
      </c>
      <c r="J194" s="91">
        <f>SUM(J191,J192)</f>
        <v>235</v>
      </c>
      <c r="K194" s="95">
        <f>SUM(K191,K192)</f>
        <v>160</v>
      </c>
      <c r="L194" s="85">
        <f>SUM(L191,L192)</f>
        <v>130</v>
      </c>
      <c r="M194" s="98">
        <f>SUM(M191,M192)</f>
        <v>125</v>
      </c>
      <c r="P194" s="101" t="s">
        <v>81</v>
      </c>
      <c r="Q194" s="91">
        <f>SUM(Q191,Q192)</f>
        <v>255</v>
      </c>
      <c r="R194" s="95">
        <f>SUM(R191,R192)</f>
        <v>160</v>
      </c>
      <c r="S194" s="85">
        <f>SUM(S191,S192)</f>
        <v>130</v>
      </c>
      <c r="T194" s="98">
        <f>SUM(T191,T192)</f>
        <v>125</v>
      </c>
    </row>
    <row r="197" spans="1:20" x14ac:dyDescent="0.3">
      <c r="A197" s="104" t="s">
        <v>94</v>
      </c>
    </row>
    <row r="198" spans="1:20" ht="72" x14ac:dyDescent="0.3">
      <c r="A198" s="105" t="s">
        <v>91</v>
      </c>
    </row>
    <row r="199" spans="1:20" ht="15" thickBot="1" x14ac:dyDescent="0.35"/>
    <row r="200" spans="1:20" ht="15" thickBot="1" x14ac:dyDescent="0.35">
      <c r="B200" s="86" t="s">
        <v>75</v>
      </c>
      <c r="C200" s="87" t="s">
        <v>76</v>
      </c>
      <c r="D200" s="87" t="s">
        <v>78</v>
      </c>
      <c r="E200" s="87" t="s">
        <v>77</v>
      </c>
      <c r="F200" s="88" t="s">
        <v>79</v>
      </c>
      <c r="I200" s="86" t="s">
        <v>75</v>
      </c>
      <c r="J200" s="87" t="s">
        <v>76</v>
      </c>
      <c r="K200" s="87" t="s">
        <v>78</v>
      </c>
      <c r="L200" s="87" t="s">
        <v>77</v>
      </c>
      <c r="M200" s="88" t="s">
        <v>79</v>
      </c>
      <c r="P200" s="86" t="s">
        <v>75</v>
      </c>
      <c r="Q200" s="87" t="s">
        <v>76</v>
      </c>
      <c r="R200" s="87" t="s">
        <v>78</v>
      </c>
      <c r="S200" s="87" t="s">
        <v>77</v>
      </c>
      <c r="T200" s="88" t="s">
        <v>79</v>
      </c>
    </row>
    <row r="201" spans="1:20" x14ac:dyDescent="0.3">
      <c r="B201" s="99" t="s">
        <v>13</v>
      </c>
      <c r="C201" s="89">
        <v>20</v>
      </c>
      <c r="D201" s="65">
        <v>10</v>
      </c>
      <c r="E201" s="92">
        <v>10</v>
      </c>
      <c r="F201" s="96">
        <v>5</v>
      </c>
      <c r="I201" s="99" t="s">
        <v>13</v>
      </c>
      <c r="J201" s="89">
        <v>10</v>
      </c>
      <c r="K201" s="65">
        <v>10</v>
      </c>
      <c r="L201" s="92">
        <v>10</v>
      </c>
      <c r="M201" s="96">
        <v>10</v>
      </c>
      <c r="P201" s="99" t="s">
        <v>13</v>
      </c>
      <c r="Q201" s="89">
        <v>12</v>
      </c>
      <c r="R201" s="65">
        <v>10</v>
      </c>
      <c r="S201" s="92">
        <v>10</v>
      </c>
      <c r="T201" s="96">
        <v>10</v>
      </c>
    </row>
    <row r="202" spans="1:20" x14ac:dyDescent="0.3">
      <c r="B202" s="100" t="s">
        <v>14</v>
      </c>
      <c r="C202" s="90">
        <v>20</v>
      </c>
      <c r="D202" s="64">
        <v>10</v>
      </c>
      <c r="E202" s="93">
        <v>10</v>
      </c>
      <c r="F202" s="97">
        <v>5</v>
      </c>
      <c r="I202" s="100" t="s">
        <v>14</v>
      </c>
      <c r="J202" s="90">
        <v>10</v>
      </c>
      <c r="K202" s="64">
        <v>10</v>
      </c>
      <c r="L202" s="93">
        <v>10</v>
      </c>
      <c r="M202" s="97">
        <v>10</v>
      </c>
      <c r="P202" s="100" t="s">
        <v>14</v>
      </c>
      <c r="Q202" s="90">
        <v>12</v>
      </c>
      <c r="R202" s="64">
        <v>10</v>
      </c>
      <c r="S202" s="93">
        <v>10</v>
      </c>
      <c r="T202" s="97">
        <v>10</v>
      </c>
    </row>
    <row r="203" spans="1:20" x14ac:dyDescent="0.3">
      <c r="B203" s="100" t="s">
        <v>15</v>
      </c>
      <c r="C203" s="90">
        <v>20</v>
      </c>
      <c r="D203" s="64">
        <v>10</v>
      </c>
      <c r="E203" s="93">
        <v>10</v>
      </c>
      <c r="F203" s="97">
        <v>5</v>
      </c>
      <c r="I203" s="100" t="s">
        <v>15</v>
      </c>
      <c r="J203" s="90">
        <v>10</v>
      </c>
      <c r="K203" s="64">
        <v>10</v>
      </c>
      <c r="L203" s="93">
        <v>10</v>
      </c>
      <c r="M203" s="97">
        <v>10</v>
      </c>
      <c r="P203" s="100" t="s">
        <v>15</v>
      </c>
      <c r="Q203" s="90">
        <v>12</v>
      </c>
      <c r="R203" s="64">
        <v>10</v>
      </c>
      <c r="S203" s="93">
        <v>10</v>
      </c>
      <c r="T203" s="97">
        <v>10</v>
      </c>
    </row>
    <row r="204" spans="1:20" x14ac:dyDescent="0.3">
      <c r="B204" s="100" t="s">
        <v>16</v>
      </c>
      <c r="C204" s="90">
        <v>20</v>
      </c>
      <c r="D204" s="64">
        <v>10</v>
      </c>
      <c r="E204" s="93">
        <v>10</v>
      </c>
      <c r="F204" s="97">
        <v>5</v>
      </c>
      <c r="I204" s="100" t="s">
        <v>16</v>
      </c>
      <c r="J204" s="90">
        <v>10</v>
      </c>
      <c r="K204" s="64">
        <v>10</v>
      </c>
      <c r="L204" s="93">
        <v>10</v>
      </c>
      <c r="M204" s="97">
        <v>10</v>
      </c>
      <c r="P204" s="100" t="s">
        <v>16</v>
      </c>
      <c r="Q204" s="90">
        <v>12</v>
      </c>
      <c r="R204" s="64">
        <v>10</v>
      </c>
      <c r="S204" s="93">
        <v>10</v>
      </c>
      <c r="T204" s="97">
        <v>10</v>
      </c>
    </row>
    <row r="205" spans="1:20" x14ac:dyDescent="0.3">
      <c r="B205" s="100" t="s">
        <v>17</v>
      </c>
      <c r="C205" s="90">
        <v>20</v>
      </c>
      <c r="D205" s="64">
        <v>10</v>
      </c>
      <c r="E205" s="93">
        <v>10</v>
      </c>
      <c r="F205" s="97">
        <v>5</v>
      </c>
      <c r="I205" s="100" t="s">
        <v>17</v>
      </c>
      <c r="J205" s="90">
        <v>10</v>
      </c>
      <c r="K205" s="64">
        <v>10</v>
      </c>
      <c r="L205" s="93">
        <v>10</v>
      </c>
      <c r="M205" s="97">
        <v>10</v>
      </c>
      <c r="P205" s="100" t="s">
        <v>17</v>
      </c>
      <c r="Q205" s="90">
        <v>12</v>
      </c>
      <c r="R205" s="64">
        <v>10</v>
      </c>
      <c r="S205" s="93">
        <v>10</v>
      </c>
      <c r="T205" s="97">
        <v>10</v>
      </c>
    </row>
    <row r="206" spans="1:20" x14ac:dyDescent="0.3">
      <c r="B206" s="100" t="s">
        <v>18</v>
      </c>
      <c r="C206" s="100"/>
      <c r="D206" s="100"/>
      <c r="E206" s="100"/>
      <c r="F206" s="100"/>
      <c r="I206" s="100" t="s">
        <v>18</v>
      </c>
      <c r="J206" s="100"/>
      <c r="K206" s="100"/>
      <c r="L206" s="100"/>
      <c r="M206" s="100"/>
      <c r="P206" s="100" t="s">
        <v>18</v>
      </c>
      <c r="Q206" s="100"/>
      <c r="R206" s="100"/>
      <c r="S206" s="100"/>
      <c r="T206" s="100"/>
    </row>
    <row r="207" spans="1:20" x14ac:dyDescent="0.3">
      <c r="B207" s="100" t="s">
        <v>19</v>
      </c>
      <c r="C207" s="100"/>
      <c r="D207" s="100"/>
      <c r="E207" s="100"/>
      <c r="F207" s="100"/>
      <c r="I207" s="100" t="s">
        <v>19</v>
      </c>
      <c r="J207" s="100"/>
      <c r="K207" s="100"/>
      <c r="L207" s="100"/>
      <c r="M207" s="100"/>
      <c r="P207" s="100" t="s">
        <v>19</v>
      </c>
      <c r="Q207" s="100"/>
      <c r="R207" s="100"/>
      <c r="S207" s="100"/>
      <c r="T207" s="100"/>
    </row>
    <row r="208" spans="1:20" x14ac:dyDescent="0.3">
      <c r="B208" s="100" t="s">
        <v>20</v>
      </c>
      <c r="C208" s="100"/>
      <c r="D208" s="100"/>
      <c r="E208" s="100"/>
      <c r="F208" s="100"/>
      <c r="I208" s="100" t="s">
        <v>20</v>
      </c>
      <c r="J208" s="100"/>
      <c r="K208" s="100"/>
      <c r="L208" s="100"/>
      <c r="M208" s="100"/>
      <c r="P208" s="100" t="s">
        <v>20</v>
      </c>
      <c r="Q208" s="100"/>
      <c r="R208" s="100"/>
      <c r="S208" s="100"/>
      <c r="T208" s="100"/>
    </row>
    <row r="209" spans="2:20" x14ac:dyDescent="0.3">
      <c r="B209" s="100" t="s">
        <v>21</v>
      </c>
      <c r="C209" s="100"/>
      <c r="D209" s="100"/>
      <c r="E209" s="100"/>
      <c r="F209" s="100"/>
      <c r="I209" s="100" t="s">
        <v>21</v>
      </c>
      <c r="J209" s="100"/>
      <c r="K209" s="100"/>
      <c r="L209" s="100"/>
      <c r="M209" s="100"/>
      <c r="P209" s="100" t="s">
        <v>21</v>
      </c>
      <c r="Q209" s="100"/>
      <c r="R209" s="100"/>
      <c r="S209" s="100"/>
      <c r="T209" s="100"/>
    </row>
    <row r="210" spans="2:20" x14ac:dyDescent="0.3">
      <c r="B210" s="100" t="s">
        <v>22</v>
      </c>
      <c r="C210" s="100"/>
      <c r="D210" s="100"/>
      <c r="E210" s="100"/>
      <c r="F210" s="100"/>
      <c r="I210" s="100" t="s">
        <v>22</v>
      </c>
      <c r="J210" s="100"/>
      <c r="K210" s="100"/>
      <c r="L210" s="100"/>
      <c r="M210" s="100"/>
      <c r="P210" s="100" t="s">
        <v>22</v>
      </c>
      <c r="Q210" s="100"/>
      <c r="R210" s="100"/>
      <c r="S210" s="100"/>
      <c r="T210" s="100"/>
    </row>
    <row r="211" spans="2:20" x14ac:dyDescent="0.3">
      <c r="B211" s="100" t="s">
        <v>23</v>
      </c>
      <c r="C211" s="100"/>
      <c r="D211" s="100"/>
      <c r="E211" s="100"/>
      <c r="F211" s="100"/>
      <c r="I211" s="100" t="s">
        <v>23</v>
      </c>
      <c r="J211" s="100"/>
      <c r="K211" s="100"/>
      <c r="L211" s="100"/>
      <c r="M211" s="100"/>
      <c r="P211" s="100" t="s">
        <v>23</v>
      </c>
      <c r="Q211" s="100"/>
      <c r="R211" s="100"/>
      <c r="S211" s="100"/>
      <c r="T211" s="100"/>
    </row>
    <row r="212" spans="2:20" x14ac:dyDescent="0.3">
      <c r="B212" s="100" t="s">
        <v>24</v>
      </c>
      <c r="C212" s="100"/>
      <c r="D212" s="100"/>
      <c r="E212" s="100"/>
      <c r="F212" s="100"/>
      <c r="I212" s="100" t="s">
        <v>24</v>
      </c>
      <c r="J212" s="100"/>
      <c r="K212" s="100"/>
      <c r="L212" s="100"/>
      <c r="M212" s="100"/>
      <c r="P212" s="100" t="s">
        <v>24</v>
      </c>
      <c r="Q212" s="100"/>
      <c r="R212" s="100"/>
      <c r="S212" s="100"/>
      <c r="T212" s="100"/>
    </row>
    <row r="213" spans="2:20" x14ac:dyDescent="0.3">
      <c r="B213" s="100" t="s">
        <v>25</v>
      </c>
      <c r="C213" s="100"/>
      <c r="D213" s="100"/>
      <c r="E213" s="100"/>
      <c r="F213" s="100"/>
      <c r="I213" s="100" t="s">
        <v>25</v>
      </c>
      <c r="J213" s="100"/>
      <c r="K213" s="100"/>
      <c r="L213" s="100"/>
      <c r="M213" s="100"/>
      <c r="P213" s="100" t="s">
        <v>25</v>
      </c>
      <c r="Q213" s="100"/>
      <c r="R213" s="100"/>
      <c r="S213" s="100"/>
      <c r="T213" s="100"/>
    </row>
    <row r="214" spans="2:20" x14ac:dyDescent="0.3">
      <c r="B214" s="100" t="s">
        <v>26</v>
      </c>
      <c r="C214" s="100"/>
      <c r="D214" s="100"/>
      <c r="E214" s="100"/>
      <c r="F214" s="100"/>
      <c r="I214" s="100" t="s">
        <v>26</v>
      </c>
      <c r="J214" s="100"/>
      <c r="K214" s="100"/>
      <c r="L214" s="100"/>
      <c r="M214" s="100"/>
      <c r="P214" s="100" t="s">
        <v>26</v>
      </c>
      <c r="Q214" s="100"/>
      <c r="R214" s="100"/>
      <c r="S214" s="100"/>
      <c r="T214" s="100"/>
    </row>
    <row r="215" spans="2:20" x14ac:dyDescent="0.3">
      <c r="B215" s="100" t="s">
        <v>27</v>
      </c>
      <c r="C215" s="100"/>
      <c r="D215" s="100"/>
      <c r="E215" s="100"/>
      <c r="F215" s="100"/>
      <c r="I215" s="100" t="s">
        <v>27</v>
      </c>
      <c r="J215" s="100"/>
      <c r="K215" s="100"/>
      <c r="L215" s="100"/>
      <c r="M215" s="100"/>
      <c r="P215" s="100" t="s">
        <v>27</v>
      </c>
      <c r="Q215" s="100"/>
      <c r="R215" s="100"/>
      <c r="S215" s="100"/>
      <c r="T215" s="100"/>
    </row>
    <row r="216" spans="2:20" x14ac:dyDescent="0.3">
      <c r="B216" s="100" t="s">
        <v>28</v>
      </c>
      <c r="C216" s="100"/>
      <c r="D216" s="100"/>
      <c r="E216" s="100"/>
      <c r="F216" s="100"/>
      <c r="I216" s="100" t="s">
        <v>28</v>
      </c>
      <c r="J216" s="100"/>
      <c r="K216" s="100"/>
      <c r="L216" s="100"/>
      <c r="M216" s="100"/>
      <c r="P216" s="100" t="s">
        <v>28</v>
      </c>
      <c r="Q216" s="100"/>
      <c r="R216" s="100"/>
      <c r="S216" s="100"/>
      <c r="T216" s="100"/>
    </row>
    <row r="217" spans="2:20" x14ac:dyDescent="0.3">
      <c r="B217" s="100" t="s">
        <v>29</v>
      </c>
      <c r="C217" s="100"/>
      <c r="D217" s="100"/>
      <c r="E217" s="100"/>
      <c r="F217" s="100"/>
      <c r="I217" s="100" t="s">
        <v>29</v>
      </c>
      <c r="J217" s="100"/>
      <c r="K217" s="100"/>
      <c r="L217" s="100"/>
      <c r="M217" s="100"/>
      <c r="P217" s="100" t="s">
        <v>29</v>
      </c>
      <c r="Q217" s="100"/>
      <c r="R217" s="100"/>
      <c r="S217" s="100"/>
      <c r="T217" s="100"/>
    </row>
    <row r="218" spans="2:20" x14ac:dyDescent="0.3">
      <c r="B218" s="100" t="s">
        <v>30</v>
      </c>
      <c r="C218" s="100"/>
      <c r="D218" s="100"/>
      <c r="E218" s="100"/>
      <c r="F218" s="100"/>
      <c r="I218" s="100" t="s">
        <v>30</v>
      </c>
      <c r="J218" s="100"/>
      <c r="K218" s="100"/>
      <c r="L218" s="100"/>
      <c r="M218" s="100"/>
      <c r="P218" s="100" t="s">
        <v>30</v>
      </c>
      <c r="Q218" s="100"/>
      <c r="R218" s="100"/>
      <c r="S218" s="100"/>
      <c r="T218" s="100"/>
    </row>
    <row r="219" spans="2:20" x14ac:dyDescent="0.3">
      <c r="B219" s="100" t="s">
        <v>32</v>
      </c>
      <c r="C219" s="100"/>
      <c r="D219" s="100"/>
      <c r="E219" s="100"/>
      <c r="F219" s="100"/>
      <c r="I219" s="100" t="s">
        <v>32</v>
      </c>
      <c r="J219" s="100"/>
      <c r="K219" s="100"/>
      <c r="L219" s="100"/>
      <c r="M219" s="100"/>
      <c r="P219" s="100" t="s">
        <v>32</v>
      </c>
      <c r="Q219" s="100"/>
      <c r="R219" s="100"/>
      <c r="S219" s="100"/>
      <c r="T219" s="100"/>
    </row>
    <row r="220" spans="2:20" x14ac:dyDescent="0.3">
      <c r="B220" s="100" t="s">
        <v>34</v>
      </c>
      <c r="C220" s="100"/>
      <c r="D220" s="100"/>
      <c r="E220" s="100"/>
      <c r="F220" s="100"/>
      <c r="I220" s="100" t="s">
        <v>34</v>
      </c>
      <c r="J220" s="100"/>
      <c r="K220" s="100"/>
      <c r="L220" s="100"/>
      <c r="M220" s="100"/>
      <c r="P220" s="100" t="s">
        <v>34</v>
      </c>
      <c r="Q220" s="100"/>
      <c r="R220" s="100"/>
      <c r="S220" s="100"/>
      <c r="T220" s="100"/>
    </row>
    <row r="221" spans="2:20" ht="15" thickBot="1" x14ac:dyDescent="0.35">
      <c r="B221" s="101" t="s">
        <v>36</v>
      </c>
      <c r="C221" s="101"/>
      <c r="D221" s="101"/>
      <c r="E221" s="101"/>
      <c r="F221" s="101"/>
      <c r="I221" s="100" t="s">
        <v>36</v>
      </c>
      <c r="J221" s="101"/>
      <c r="K221" s="101"/>
      <c r="L221" s="101"/>
      <c r="M221" s="101"/>
      <c r="P221" s="101" t="s">
        <v>36</v>
      </c>
      <c r="Q221" s="101"/>
      <c r="R221" s="101"/>
      <c r="S221" s="101"/>
      <c r="T221" s="101"/>
    </row>
    <row r="222" spans="2:20" ht="15" thickBot="1" x14ac:dyDescent="0.35"/>
    <row r="223" spans="2:20" x14ac:dyDescent="0.3">
      <c r="B223" s="99" t="s">
        <v>80</v>
      </c>
      <c r="C223" s="99">
        <f>SUM(C201:C221)</f>
        <v>100</v>
      </c>
      <c r="D223" s="99">
        <f>SUM(D201:D221)</f>
        <v>50</v>
      </c>
      <c r="E223" s="102">
        <f>SUM(E201:E221)</f>
        <v>50</v>
      </c>
      <c r="F223" s="99">
        <f>SUM(F201:F221)</f>
        <v>25</v>
      </c>
      <c r="I223" s="99" t="s">
        <v>80</v>
      </c>
      <c r="J223" s="99">
        <f>SUM(J201:J221)</f>
        <v>50</v>
      </c>
      <c r="K223" s="99">
        <f>SUM(K201:K221)</f>
        <v>50</v>
      </c>
      <c r="L223" s="102">
        <f>SUM(L201:L221)</f>
        <v>50</v>
      </c>
      <c r="M223" s="99">
        <f>SUM(M201:M221)</f>
        <v>50</v>
      </c>
      <c r="P223" s="99" t="s">
        <v>80</v>
      </c>
      <c r="Q223" s="99">
        <f>SUM(Q201:Q221)</f>
        <v>60</v>
      </c>
      <c r="R223" s="99">
        <f>SUM(R201:R221)</f>
        <v>50</v>
      </c>
      <c r="S223" s="102">
        <f>SUM(S201:S221)</f>
        <v>50</v>
      </c>
      <c r="T223" s="99">
        <f>SUM(T201:T221)</f>
        <v>50</v>
      </c>
    </row>
    <row r="224" spans="2:20" x14ac:dyDescent="0.3">
      <c r="B224" s="100" t="s">
        <v>39</v>
      </c>
      <c r="C224" s="100">
        <v>135</v>
      </c>
      <c r="D224" s="100">
        <v>60</v>
      </c>
      <c r="E224" s="103">
        <v>30</v>
      </c>
      <c r="F224" s="100">
        <v>25</v>
      </c>
      <c r="I224" s="100" t="s">
        <v>39</v>
      </c>
      <c r="J224" s="100">
        <v>135</v>
      </c>
      <c r="K224" s="100">
        <v>60</v>
      </c>
      <c r="L224" s="103">
        <v>30</v>
      </c>
      <c r="M224" s="100">
        <v>25</v>
      </c>
      <c r="P224" s="100" t="s">
        <v>39</v>
      </c>
      <c r="Q224" s="100">
        <v>135</v>
      </c>
      <c r="R224" s="100">
        <v>60</v>
      </c>
      <c r="S224" s="103">
        <v>30</v>
      </c>
      <c r="T224" s="100">
        <v>25</v>
      </c>
    </row>
    <row r="225" spans="1:20" x14ac:dyDescent="0.3">
      <c r="B225" s="100"/>
      <c r="C225" s="100"/>
      <c r="D225" s="100"/>
      <c r="E225" s="103"/>
      <c r="F225" s="100"/>
      <c r="I225" s="100"/>
      <c r="J225" s="100"/>
      <c r="K225" s="100"/>
      <c r="L225" s="103"/>
      <c r="M225" s="100"/>
      <c r="P225" s="100"/>
      <c r="Q225" s="100"/>
      <c r="R225" s="100"/>
      <c r="S225" s="103"/>
      <c r="T225" s="100"/>
    </row>
    <row r="226" spans="1:20" ht="15" thickBot="1" x14ac:dyDescent="0.35">
      <c r="B226" s="101" t="s">
        <v>81</v>
      </c>
      <c r="C226" s="91">
        <f>SUM(C223,C224)</f>
        <v>235</v>
      </c>
      <c r="D226" s="95">
        <f>SUM(D223,D224)</f>
        <v>110</v>
      </c>
      <c r="E226" s="85">
        <f>SUM(E223,E224)</f>
        <v>80</v>
      </c>
      <c r="F226" s="98">
        <f>SUM(F223,F224)</f>
        <v>50</v>
      </c>
      <c r="I226" s="101" t="s">
        <v>81</v>
      </c>
      <c r="J226" s="91">
        <f>SUM(J223,J224)</f>
        <v>185</v>
      </c>
      <c r="K226" s="95">
        <f>SUM(K223,K224)</f>
        <v>110</v>
      </c>
      <c r="L226" s="85">
        <f>SUM(L223,L224)</f>
        <v>80</v>
      </c>
      <c r="M226" s="98">
        <f>SUM(M223,M224)</f>
        <v>75</v>
      </c>
      <c r="P226" s="101" t="s">
        <v>81</v>
      </c>
      <c r="Q226" s="91">
        <f>SUM(Q223,Q224)</f>
        <v>195</v>
      </c>
      <c r="R226" s="95">
        <f>SUM(R223,R224)</f>
        <v>110</v>
      </c>
      <c r="S226" s="85">
        <f>SUM(S223,S224)</f>
        <v>80</v>
      </c>
      <c r="T226" s="98">
        <f>SUM(T223,T224)</f>
        <v>75</v>
      </c>
    </row>
    <row r="229" spans="1:20" x14ac:dyDescent="0.3">
      <c r="A229" s="104" t="s">
        <v>95</v>
      </c>
    </row>
    <row r="230" spans="1:20" ht="72" x14ac:dyDescent="0.3">
      <c r="A230" s="105" t="s">
        <v>96</v>
      </c>
    </row>
    <row r="231" spans="1:20" ht="15" thickBot="1" x14ac:dyDescent="0.35"/>
    <row r="232" spans="1:20" ht="15" thickBot="1" x14ac:dyDescent="0.35">
      <c r="B232" s="86" t="s">
        <v>75</v>
      </c>
      <c r="C232" s="87" t="s">
        <v>76</v>
      </c>
      <c r="D232" s="87" t="s">
        <v>78</v>
      </c>
      <c r="E232" s="87" t="s">
        <v>77</v>
      </c>
      <c r="F232" s="88" t="s">
        <v>79</v>
      </c>
      <c r="I232" s="86" t="s">
        <v>75</v>
      </c>
      <c r="J232" s="87" t="s">
        <v>76</v>
      </c>
      <c r="K232" s="87" t="s">
        <v>78</v>
      </c>
      <c r="L232" s="87" t="s">
        <v>77</v>
      </c>
      <c r="M232" s="88" t="s">
        <v>79</v>
      </c>
      <c r="P232" s="86" t="s">
        <v>75</v>
      </c>
      <c r="Q232" s="87" t="s">
        <v>76</v>
      </c>
      <c r="R232" s="87" t="s">
        <v>78</v>
      </c>
      <c r="S232" s="87" t="s">
        <v>77</v>
      </c>
      <c r="T232" s="88" t="s">
        <v>79</v>
      </c>
    </row>
    <row r="233" spans="1:20" x14ac:dyDescent="0.3">
      <c r="B233" s="99" t="s">
        <v>13</v>
      </c>
      <c r="C233" s="89">
        <v>20</v>
      </c>
      <c r="D233" s="65">
        <v>10</v>
      </c>
      <c r="E233" s="92">
        <v>10</v>
      </c>
      <c r="F233" s="96">
        <v>5</v>
      </c>
      <c r="I233" s="99" t="s">
        <v>13</v>
      </c>
      <c r="J233" s="89">
        <v>10</v>
      </c>
      <c r="K233" s="65">
        <v>10</v>
      </c>
      <c r="L233" s="92">
        <v>10</v>
      </c>
      <c r="M233" s="96">
        <v>10</v>
      </c>
      <c r="P233" s="99" t="s">
        <v>13</v>
      </c>
      <c r="Q233" s="89">
        <v>12</v>
      </c>
      <c r="R233" s="65">
        <v>10</v>
      </c>
      <c r="S233" s="92">
        <v>10</v>
      </c>
      <c r="T233" s="96">
        <v>10</v>
      </c>
    </row>
    <row r="234" spans="1:20" x14ac:dyDescent="0.3">
      <c r="B234" s="100" t="s">
        <v>14</v>
      </c>
      <c r="C234" s="90">
        <v>20</v>
      </c>
      <c r="D234" s="64">
        <v>10</v>
      </c>
      <c r="E234" s="93">
        <v>10</v>
      </c>
      <c r="F234" s="97">
        <v>5</v>
      </c>
      <c r="I234" s="100" t="s">
        <v>14</v>
      </c>
      <c r="J234" s="90">
        <v>10</v>
      </c>
      <c r="K234" s="64">
        <v>10</v>
      </c>
      <c r="L234" s="93">
        <v>10</v>
      </c>
      <c r="M234" s="97">
        <v>10</v>
      </c>
      <c r="P234" s="100" t="s">
        <v>14</v>
      </c>
      <c r="Q234" s="90">
        <v>12</v>
      </c>
      <c r="R234" s="64">
        <v>10</v>
      </c>
      <c r="S234" s="93">
        <v>10</v>
      </c>
      <c r="T234" s="97">
        <v>10</v>
      </c>
    </row>
    <row r="235" spans="1:20" x14ac:dyDescent="0.3">
      <c r="B235" s="100" t="s">
        <v>15</v>
      </c>
      <c r="C235" s="90">
        <v>20</v>
      </c>
      <c r="D235" s="64">
        <v>10</v>
      </c>
      <c r="E235" s="93">
        <v>10</v>
      </c>
      <c r="F235" s="97">
        <v>5</v>
      </c>
      <c r="I235" s="100" t="s">
        <v>15</v>
      </c>
      <c r="J235" s="90">
        <v>10</v>
      </c>
      <c r="K235" s="64">
        <v>10</v>
      </c>
      <c r="L235" s="93">
        <v>10</v>
      </c>
      <c r="M235" s="97">
        <v>10</v>
      </c>
      <c r="P235" s="100" t="s">
        <v>15</v>
      </c>
      <c r="Q235" s="90">
        <v>12</v>
      </c>
      <c r="R235" s="64">
        <v>10</v>
      </c>
      <c r="S235" s="93">
        <v>10</v>
      </c>
      <c r="T235" s="97">
        <v>10</v>
      </c>
    </row>
    <row r="236" spans="1:20" x14ac:dyDescent="0.3">
      <c r="B236" s="100" t="s">
        <v>16</v>
      </c>
      <c r="C236" s="90">
        <v>20</v>
      </c>
      <c r="D236" s="64">
        <v>10</v>
      </c>
      <c r="E236" s="93">
        <v>10</v>
      </c>
      <c r="F236" s="97">
        <v>5</v>
      </c>
      <c r="I236" s="100" t="s">
        <v>16</v>
      </c>
      <c r="J236" s="90">
        <v>10</v>
      </c>
      <c r="K236" s="64">
        <v>10</v>
      </c>
      <c r="L236" s="93">
        <v>10</v>
      </c>
      <c r="M236" s="97">
        <v>10</v>
      </c>
      <c r="P236" s="100" t="s">
        <v>16</v>
      </c>
      <c r="Q236" s="90">
        <v>12</v>
      </c>
      <c r="R236" s="64">
        <v>10</v>
      </c>
      <c r="S236" s="93">
        <v>10</v>
      </c>
      <c r="T236" s="97">
        <v>10</v>
      </c>
    </row>
    <row r="237" spans="1:20" x14ac:dyDescent="0.3">
      <c r="B237" s="100" t="s">
        <v>17</v>
      </c>
      <c r="C237" s="90">
        <v>20</v>
      </c>
      <c r="D237" s="64">
        <v>10</v>
      </c>
      <c r="E237" s="93">
        <v>10</v>
      </c>
      <c r="F237" s="97">
        <v>5</v>
      </c>
      <c r="I237" s="100" t="s">
        <v>17</v>
      </c>
      <c r="J237" s="90">
        <v>10</v>
      </c>
      <c r="K237" s="64">
        <v>10</v>
      </c>
      <c r="L237" s="93">
        <v>10</v>
      </c>
      <c r="M237" s="97">
        <v>10</v>
      </c>
      <c r="P237" s="100" t="s">
        <v>17</v>
      </c>
      <c r="Q237" s="90">
        <v>12</v>
      </c>
      <c r="R237" s="64">
        <v>10</v>
      </c>
      <c r="S237" s="93">
        <v>10</v>
      </c>
      <c r="T237" s="97">
        <v>10</v>
      </c>
    </row>
    <row r="238" spans="1:20" x14ac:dyDescent="0.3">
      <c r="B238" s="100" t="s">
        <v>18</v>
      </c>
      <c r="C238" s="100"/>
      <c r="D238" s="100"/>
      <c r="E238" s="100"/>
      <c r="F238" s="100"/>
      <c r="I238" s="100" t="s">
        <v>18</v>
      </c>
      <c r="J238" s="100"/>
      <c r="K238" s="100"/>
      <c r="L238" s="100"/>
      <c r="M238" s="100"/>
      <c r="P238" s="100" t="s">
        <v>18</v>
      </c>
      <c r="Q238" s="100"/>
      <c r="R238" s="100"/>
      <c r="S238" s="100"/>
      <c r="T238" s="100"/>
    </row>
    <row r="239" spans="1:20" x14ac:dyDescent="0.3">
      <c r="B239" s="100" t="s">
        <v>19</v>
      </c>
      <c r="C239" s="100"/>
      <c r="D239" s="100"/>
      <c r="E239" s="100"/>
      <c r="F239" s="100"/>
      <c r="I239" s="100" t="s">
        <v>19</v>
      </c>
      <c r="J239" s="100"/>
      <c r="K239" s="100"/>
      <c r="L239" s="100"/>
      <c r="M239" s="100"/>
      <c r="P239" s="100" t="s">
        <v>19</v>
      </c>
      <c r="Q239" s="100"/>
      <c r="R239" s="100"/>
      <c r="S239" s="100"/>
      <c r="T239" s="100"/>
    </row>
    <row r="240" spans="1:20" x14ac:dyDescent="0.3">
      <c r="B240" s="100" t="s">
        <v>20</v>
      </c>
      <c r="C240" s="100"/>
      <c r="D240" s="100"/>
      <c r="E240" s="100"/>
      <c r="F240" s="100"/>
      <c r="I240" s="100" t="s">
        <v>20</v>
      </c>
      <c r="J240" s="100"/>
      <c r="K240" s="100"/>
      <c r="L240" s="100"/>
      <c r="M240" s="100"/>
      <c r="P240" s="100" t="s">
        <v>20</v>
      </c>
      <c r="Q240" s="100"/>
      <c r="R240" s="100"/>
      <c r="S240" s="100"/>
      <c r="T240" s="100"/>
    </row>
    <row r="241" spans="2:20" x14ac:dyDescent="0.3">
      <c r="B241" s="100" t="s">
        <v>21</v>
      </c>
      <c r="C241" s="100"/>
      <c r="D241" s="100"/>
      <c r="E241" s="100"/>
      <c r="F241" s="100"/>
      <c r="I241" s="100" t="s">
        <v>21</v>
      </c>
      <c r="J241" s="100"/>
      <c r="K241" s="100"/>
      <c r="L241" s="100"/>
      <c r="M241" s="100"/>
      <c r="P241" s="100" t="s">
        <v>21</v>
      </c>
      <c r="Q241" s="100"/>
      <c r="R241" s="100"/>
      <c r="S241" s="100"/>
      <c r="T241" s="100"/>
    </row>
    <row r="242" spans="2:20" x14ac:dyDescent="0.3">
      <c r="B242" s="100" t="s">
        <v>22</v>
      </c>
      <c r="C242" s="100"/>
      <c r="D242" s="100"/>
      <c r="E242" s="100"/>
      <c r="F242" s="100"/>
      <c r="I242" s="100" t="s">
        <v>22</v>
      </c>
      <c r="J242" s="100"/>
      <c r="K242" s="100"/>
      <c r="L242" s="100"/>
      <c r="M242" s="100"/>
      <c r="P242" s="100" t="s">
        <v>22</v>
      </c>
      <c r="Q242" s="100"/>
      <c r="R242" s="100"/>
      <c r="S242" s="100"/>
      <c r="T242" s="100"/>
    </row>
    <row r="243" spans="2:20" x14ac:dyDescent="0.3">
      <c r="B243" s="100" t="s">
        <v>23</v>
      </c>
      <c r="C243" s="100"/>
      <c r="D243" s="100"/>
      <c r="E243" s="100"/>
      <c r="F243" s="100"/>
      <c r="I243" s="100" t="s">
        <v>23</v>
      </c>
      <c r="J243" s="100"/>
      <c r="K243" s="100"/>
      <c r="L243" s="100"/>
      <c r="M243" s="100"/>
      <c r="P243" s="100" t="s">
        <v>23</v>
      </c>
      <c r="Q243" s="100"/>
      <c r="R243" s="100"/>
      <c r="S243" s="100"/>
      <c r="T243" s="100"/>
    </row>
    <row r="244" spans="2:20" x14ac:dyDescent="0.3">
      <c r="B244" s="100" t="s">
        <v>24</v>
      </c>
      <c r="C244" s="100"/>
      <c r="D244" s="100"/>
      <c r="E244" s="100"/>
      <c r="F244" s="100"/>
      <c r="I244" s="100" t="s">
        <v>24</v>
      </c>
      <c r="J244" s="100"/>
      <c r="K244" s="100"/>
      <c r="L244" s="100"/>
      <c r="M244" s="100"/>
      <c r="P244" s="100" t="s">
        <v>24</v>
      </c>
      <c r="Q244" s="100"/>
      <c r="R244" s="100"/>
      <c r="S244" s="100"/>
      <c r="T244" s="100"/>
    </row>
    <row r="245" spans="2:20" x14ac:dyDescent="0.3">
      <c r="B245" s="100" t="s">
        <v>25</v>
      </c>
      <c r="C245" s="100"/>
      <c r="D245" s="100"/>
      <c r="E245" s="100"/>
      <c r="F245" s="100"/>
      <c r="I245" s="100" t="s">
        <v>25</v>
      </c>
      <c r="J245" s="100"/>
      <c r="K245" s="100"/>
      <c r="L245" s="100"/>
      <c r="M245" s="100"/>
      <c r="P245" s="100" t="s">
        <v>25</v>
      </c>
      <c r="Q245" s="100"/>
      <c r="R245" s="100"/>
      <c r="S245" s="100"/>
      <c r="T245" s="100"/>
    </row>
    <row r="246" spans="2:20" x14ac:dyDescent="0.3">
      <c r="B246" s="100" t="s">
        <v>26</v>
      </c>
      <c r="C246" s="100"/>
      <c r="D246" s="100"/>
      <c r="E246" s="100"/>
      <c r="F246" s="100"/>
      <c r="I246" s="100" t="s">
        <v>26</v>
      </c>
      <c r="J246" s="100"/>
      <c r="K246" s="100"/>
      <c r="L246" s="100"/>
      <c r="M246" s="100"/>
      <c r="P246" s="100" t="s">
        <v>26</v>
      </c>
      <c r="Q246" s="100"/>
      <c r="R246" s="100"/>
      <c r="S246" s="100"/>
      <c r="T246" s="100"/>
    </row>
    <row r="247" spans="2:20" x14ac:dyDescent="0.3">
      <c r="B247" s="100" t="s">
        <v>27</v>
      </c>
      <c r="C247" s="100"/>
      <c r="D247" s="100"/>
      <c r="E247" s="100"/>
      <c r="F247" s="100"/>
      <c r="I247" s="100" t="s">
        <v>27</v>
      </c>
      <c r="J247" s="100"/>
      <c r="K247" s="100"/>
      <c r="L247" s="100"/>
      <c r="M247" s="100"/>
      <c r="P247" s="100" t="s">
        <v>27</v>
      </c>
      <c r="Q247" s="100"/>
      <c r="R247" s="100"/>
      <c r="S247" s="100"/>
      <c r="T247" s="100"/>
    </row>
    <row r="248" spans="2:20" x14ac:dyDescent="0.3">
      <c r="B248" s="100" t="s">
        <v>28</v>
      </c>
      <c r="C248" s="100"/>
      <c r="D248" s="100"/>
      <c r="E248" s="100"/>
      <c r="F248" s="100"/>
      <c r="I248" s="100" t="s">
        <v>28</v>
      </c>
      <c r="J248" s="100"/>
      <c r="K248" s="100"/>
      <c r="L248" s="100"/>
      <c r="M248" s="100"/>
      <c r="P248" s="100" t="s">
        <v>28</v>
      </c>
      <c r="Q248" s="100"/>
      <c r="R248" s="100"/>
      <c r="S248" s="100"/>
      <c r="T248" s="100"/>
    </row>
    <row r="249" spans="2:20" x14ac:dyDescent="0.3">
      <c r="B249" s="100" t="s">
        <v>29</v>
      </c>
      <c r="C249" s="100"/>
      <c r="D249" s="100"/>
      <c r="E249" s="100"/>
      <c r="F249" s="100"/>
      <c r="I249" s="100" t="s">
        <v>29</v>
      </c>
      <c r="J249" s="100"/>
      <c r="K249" s="100"/>
      <c r="L249" s="100"/>
      <c r="M249" s="100"/>
      <c r="P249" s="100" t="s">
        <v>29</v>
      </c>
      <c r="Q249" s="100"/>
      <c r="R249" s="100"/>
      <c r="S249" s="100"/>
      <c r="T249" s="100"/>
    </row>
    <row r="250" spans="2:20" x14ac:dyDescent="0.3">
      <c r="B250" s="100" t="s">
        <v>30</v>
      </c>
      <c r="C250" s="100"/>
      <c r="D250" s="100"/>
      <c r="E250" s="100"/>
      <c r="F250" s="100"/>
      <c r="I250" s="100" t="s">
        <v>30</v>
      </c>
      <c r="J250" s="100"/>
      <c r="K250" s="100"/>
      <c r="L250" s="100"/>
      <c r="M250" s="100"/>
      <c r="P250" s="100" t="s">
        <v>30</v>
      </c>
      <c r="Q250" s="100"/>
      <c r="R250" s="100"/>
      <c r="S250" s="100"/>
      <c r="T250" s="100"/>
    </row>
    <row r="251" spans="2:20" x14ac:dyDescent="0.3">
      <c r="B251" s="100" t="s">
        <v>32</v>
      </c>
      <c r="C251" s="100"/>
      <c r="D251" s="100"/>
      <c r="E251" s="100"/>
      <c r="F251" s="100"/>
      <c r="I251" s="100" t="s">
        <v>32</v>
      </c>
      <c r="J251" s="100"/>
      <c r="K251" s="100"/>
      <c r="L251" s="100"/>
      <c r="M251" s="100"/>
      <c r="P251" s="100" t="s">
        <v>32</v>
      </c>
      <c r="Q251" s="100"/>
      <c r="R251" s="100"/>
      <c r="S251" s="100"/>
      <c r="T251" s="100"/>
    </row>
    <row r="252" spans="2:20" x14ac:dyDescent="0.3">
      <c r="B252" s="100" t="s">
        <v>34</v>
      </c>
      <c r="C252" s="100"/>
      <c r="D252" s="100"/>
      <c r="E252" s="100"/>
      <c r="F252" s="100"/>
      <c r="I252" s="100" t="s">
        <v>34</v>
      </c>
      <c r="J252" s="100"/>
      <c r="K252" s="100"/>
      <c r="L252" s="100"/>
      <c r="M252" s="100"/>
      <c r="P252" s="100" t="s">
        <v>34</v>
      </c>
      <c r="Q252" s="100"/>
      <c r="R252" s="100"/>
      <c r="S252" s="100"/>
      <c r="T252" s="100"/>
    </row>
    <row r="253" spans="2:20" ht="15" thickBot="1" x14ac:dyDescent="0.35">
      <c r="B253" s="101" t="s">
        <v>36</v>
      </c>
      <c r="C253" s="101"/>
      <c r="D253" s="101"/>
      <c r="E253" s="101"/>
      <c r="F253" s="101"/>
      <c r="I253" s="100" t="s">
        <v>36</v>
      </c>
      <c r="J253" s="101"/>
      <c r="K253" s="101"/>
      <c r="L253" s="101"/>
      <c r="M253" s="101"/>
      <c r="P253" s="101" t="s">
        <v>36</v>
      </c>
      <c r="Q253" s="101"/>
      <c r="R253" s="101"/>
      <c r="S253" s="101"/>
      <c r="T253" s="101"/>
    </row>
    <row r="254" spans="2:20" ht="15" thickBot="1" x14ac:dyDescent="0.35"/>
    <row r="255" spans="2:20" x14ac:dyDescent="0.3">
      <c r="B255" s="99" t="s">
        <v>80</v>
      </c>
      <c r="C255" s="99">
        <f>SUM(C233:C253)</f>
        <v>100</v>
      </c>
      <c r="D255" s="99">
        <f>SUM(D233:D253)</f>
        <v>50</v>
      </c>
      <c r="E255" s="102">
        <f>SUM(E233:E253)</f>
        <v>50</v>
      </c>
      <c r="F255" s="99">
        <f>SUM(F233:F253)</f>
        <v>25</v>
      </c>
      <c r="I255" s="99" t="s">
        <v>80</v>
      </c>
      <c r="J255" s="99">
        <f>SUM(J233:J253)</f>
        <v>50</v>
      </c>
      <c r="K255" s="99">
        <f>SUM(K233:K253)</f>
        <v>50</v>
      </c>
      <c r="L255" s="102">
        <f>SUM(L233:L253)</f>
        <v>50</v>
      </c>
      <c r="M255" s="99">
        <f>SUM(M233:M253)</f>
        <v>50</v>
      </c>
      <c r="P255" s="99" t="s">
        <v>80</v>
      </c>
      <c r="Q255" s="99">
        <f>SUM(Q233:Q253)</f>
        <v>60</v>
      </c>
      <c r="R255" s="99">
        <f>SUM(R233:R253)</f>
        <v>50</v>
      </c>
      <c r="S255" s="102">
        <f>SUM(S233:S253)</f>
        <v>50</v>
      </c>
      <c r="T255" s="99">
        <f>SUM(T233:T253)</f>
        <v>50</v>
      </c>
    </row>
    <row r="256" spans="2:20" x14ac:dyDescent="0.3">
      <c r="B256" s="100" t="s">
        <v>39</v>
      </c>
      <c r="C256" s="100"/>
      <c r="D256" s="100"/>
      <c r="E256" s="103"/>
      <c r="F256" s="100"/>
      <c r="I256" s="100" t="s">
        <v>39</v>
      </c>
      <c r="J256" s="100"/>
      <c r="K256" s="100"/>
      <c r="L256" s="103"/>
      <c r="M256" s="100"/>
      <c r="P256" s="100" t="s">
        <v>39</v>
      </c>
      <c r="Q256" s="100"/>
      <c r="R256" s="100"/>
      <c r="S256" s="103"/>
      <c r="T256" s="100"/>
    </row>
    <row r="257" spans="1:20" x14ac:dyDescent="0.3">
      <c r="B257" s="100"/>
      <c r="C257" s="100"/>
      <c r="D257" s="100"/>
      <c r="E257" s="103"/>
      <c r="F257" s="100"/>
      <c r="I257" s="100"/>
      <c r="J257" s="100"/>
      <c r="K257" s="100"/>
      <c r="L257" s="103"/>
      <c r="M257" s="100"/>
      <c r="P257" s="100"/>
      <c r="Q257" s="100"/>
      <c r="R257" s="100"/>
      <c r="S257" s="103"/>
      <c r="T257" s="100"/>
    </row>
    <row r="258" spans="1:20" ht="15" thickBot="1" x14ac:dyDescent="0.35">
      <c r="B258" s="101" t="s">
        <v>81</v>
      </c>
      <c r="C258" s="91">
        <f>SUM(C255,C256)</f>
        <v>100</v>
      </c>
      <c r="D258" s="95">
        <f>SUM(D255,D256)</f>
        <v>50</v>
      </c>
      <c r="E258" s="85">
        <f>SUM(E255,E256)</f>
        <v>50</v>
      </c>
      <c r="F258" s="98">
        <f>SUM(F255,F256)</f>
        <v>25</v>
      </c>
      <c r="I258" s="101" t="s">
        <v>81</v>
      </c>
      <c r="J258" s="91">
        <f>SUM(J255,J256)</f>
        <v>50</v>
      </c>
      <c r="K258" s="95">
        <f>SUM(K255,K256)</f>
        <v>50</v>
      </c>
      <c r="L258" s="85">
        <f>SUM(L255,L256)</f>
        <v>50</v>
      </c>
      <c r="M258" s="98">
        <f>SUM(M255,M256)</f>
        <v>50</v>
      </c>
      <c r="P258" s="101" t="s">
        <v>81</v>
      </c>
      <c r="Q258" s="91">
        <f>SUM(Q255,Q256)</f>
        <v>60</v>
      </c>
      <c r="R258" s="95">
        <f>SUM(R255,R256)</f>
        <v>50</v>
      </c>
      <c r="S258" s="85">
        <f>SUM(S255,S256)</f>
        <v>50</v>
      </c>
      <c r="T258" s="98">
        <f>SUM(T255,T256)</f>
        <v>50</v>
      </c>
    </row>
    <row r="261" spans="1:20" x14ac:dyDescent="0.3">
      <c r="A261" s="104" t="s">
        <v>97</v>
      </c>
    </row>
    <row r="262" spans="1:20" ht="57.6" x14ac:dyDescent="0.3">
      <c r="A262" s="105" t="s">
        <v>98</v>
      </c>
    </row>
    <row r="263" spans="1:20" ht="15" thickBot="1" x14ac:dyDescent="0.35"/>
    <row r="264" spans="1:20" ht="15" thickBot="1" x14ac:dyDescent="0.35">
      <c r="B264" s="86" t="s">
        <v>75</v>
      </c>
      <c r="C264" s="87" t="s">
        <v>76</v>
      </c>
      <c r="D264" s="87" t="s">
        <v>78</v>
      </c>
      <c r="E264" s="87" t="s">
        <v>77</v>
      </c>
      <c r="F264" s="88" t="s">
        <v>79</v>
      </c>
      <c r="I264" s="86" t="s">
        <v>75</v>
      </c>
      <c r="J264" s="87" t="s">
        <v>76</v>
      </c>
      <c r="K264" s="87" t="s">
        <v>78</v>
      </c>
      <c r="L264" s="87" t="s">
        <v>77</v>
      </c>
      <c r="M264" s="88" t="s">
        <v>79</v>
      </c>
      <c r="P264" s="86" t="s">
        <v>75</v>
      </c>
      <c r="Q264" s="87" t="s">
        <v>76</v>
      </c>
      <c r="R264" s="87" t="s">
        <v>78</v>
      </c>
      <c r="S264" s="87" t="s">
        <v>77</v>
      </c>
      <c r="T264" s="88" t="s">
        <v>79</v>
      </c>
    </row>
    <row r="265" spans="1:20" x14ac:dyDescent="0.3">
      <c r="B265" s="99" t="s">
        <v>13</v>
      </c>
      <c r="C265" s="99"/>
      <c r="D265" s="99"/>
      <c r="E265" s="99"/>
      <c r="F265" s="99"/>
      <c r="I265" s="99" t="s">
        <v>13</v>
      </c>
      <c r="J265" s="99"/>
      <c r="K265" s="99"/>
      <c r="L265" s="99"/>
      <c r="M265" s="99"/>
      <c r="P265" s="99" t="s">
        <v>13</v>
      </c>
      <c r="Q265" s="99"/>
      <c r="R265" s="99"/>
      <c r="S265" s="99"/>
      <c r="T265" s="99"/>
    </row>
    <row r="266" spans="1:20" x14ac:dyDescent="0.3">
      <c r="B266" s="100" t="s">
        <v>14</v>
      </c>
      <c r="C266" s="100"/>
      <c r="D266" s="100"/>
      <c r="E266" s="100"/>
      <c r="F266" s="100"/>
      <c r="I266" s="100" t="s">
        <v>14</v>
      </c>
      <c r="J266" s="100"/>
      <c r="K266" s="100"/>
      <c r="L266" s="100"/>
      <c r="M266" s="100"/>
      <c r="P266" s="100" t="s">
        <v>14</v>
      </c>
      <c r="Q266" s="100"/>
      <c r="R266" s="100"/>
      <c r="S266" s="100"/>
      <c r="T266" s="100"/>
    </row>
    <row r="267" spans="1:20" x14ac:dyDescent="0.3">
      <c r="B267" s="100" t="s">
        <v>15</v>
      </c>
      <c r="C267" s="100"/>
      <c r="D267" s="100"/>
      <c r="E267" s="100"/>
      <c r="F267" s="100"/>
      <c r="I267" s="100" t="s">
        <v>15</v>
      </c>
      <c r="J267" s="100"/>
      <c r="K267" s="100"/>
      <c r="L267" s="100"/>
      <c r="M267" s="100"/>
      <c r="P267" s="100" t="s">
        <v>15</v>
      </c>
      <c r="Q267" s="100"/>
      <c r="R267" s="100"/>
      <c r="S267" s="100"/>
      <c r="T267" s="100"/>
    </row>
    <row r="268" spans="1:20" x14ac:dyDescent="0.3">
      <c r="B268" s="100" t="s">
        <v>16</v>
      </c>
      <c r="C268" s="100"/>
      <c r="D268" s="100"/>
      <c r="E268" s="100"/>
      <c r="F268" s="100"/>
      <c r="I268" s="100" t="s">
        <v>16</v>
      </c>
      <c r="J268" s="100"/>
      <c r="K268" s="100"/>
      <c r="L268" s="100"/>
      <c r="M268" s="100"/>
      <c r="P268" s="100" t="s">
        <v>16</v>
      </c>
      <c r="Q268" s="100"/>
      <c r="R268" s="100"/>
      <c r="S268" s="100"/>
      <c r="T268" s="100"/>
    </row>
    <row r="269" spans="1:20" x14ac:dyDescent="0.3">
      <c r="B269" s="100" t="s">
        <v>17</v>
      </c>
      <c r="C269" s="100"/>
      <c r="D269" s="100"/>
      <c r="E269" s="100"/>
      <c r="F269" s="100"/>
      <c r="I269" s="100" t="s">
        <v>17</v>
      </c>
      <c r="J269" s="100"/>
      <c r="K269" s="100"/>
      <c r="L269" s="100"/>
      <c r="M269" s="100"/>
      <c r="P269" s="100" t="s">
        <v>17</v>
      </c>
      <c r="Q269" s="100"/>
      <c r="R269" s="100"/>
      <c r="S269" s="100"/>
      <c r="T269" s="100"/>
    </row>
    <row r="270" spans="1:20" x14ac:dyDescent="0.3">
      <c r="B270" s="100" t="s">
        <v>18</v>
      </c>
      <c r="C270" s="100"/>
      <c r="D270" s="100"/>
      <c r="E270" s="100"/>
      <c r="F270" s="100"/>
      <c r="I270" s="100" t="s">
        <v>18</v>
      </c>
      <c r="J270" s="100"/>
      <c r="K270" s="100"/>
      <c r="L270" s="100"/>
      <c r="M270" s="100"/>
      <c r="P270" s="100" t="s">
        <v>18</v>
      </c>
      <c r="Q270" s="100"/>
      <c r="R270" s="100"/>
      <c r="S270" s="100"/>
      <c r="T270" s="100"/>
    </row>
    <row r="271" spans="1:20" x14ac:dyDescent="0.3">
      <c r="B271" s="100" t="s">
        <v>19</v>
      </c>
      <c r="C271" s="100"/>
      <c r="D271" s="100"/>
      <c r="E271" s="100"/>
      <c r="F271" s="100"/>
      <c r="I271" s="100" t="s">
        <v>19</v>
      </c>
      <c r="J271" s="100"/>
      <c r="K271" s="100"/>
      <c r="L271" s="100"/>
      <c r="M271" s="100"/>
      <c r="P271" s="100" t="s">
        <v>19</v>
      </c>
      <c r="Q271" s="100"/>
      <c r="R271" s="100"/>
      <c r="S271" s="100"/>
      <c r="T271" s="100"/>
    </row>
    <row r="272" spans="1:20" x14ac:dyDescent="0.3">
      <c r="B272" s="100" t="s">
        <v>20</v>
      </c>
      <c r="C272" s="100"/>
      <c r="D272" s="100"/>
      <c r="E272" s="100"/>
      <c r="F272" s="100"/>
      <c r="I272" s="100" t="s">
        <v>20</v>
      </c>
      <c r="J272" s="100"/>
      <c r="K272" s="100"/>
      <c r="L272" s="100"/>
      <c r="M272" s="100"/>
      <c r="P272" s="100" t="s">
        <v>20</v>
      </c>
      <c r="Q272" s="100"/>
      <c r="R272" s="100"/>
      <c r="S272" s="100"/>
      <c r="T272" s="100"/>
    </row>
    <row r="273" spans="2:20" x14ac:dyDescent="0.3">
      <c r="B273" s="100" t="s">
        <v>21</v>
      </c>
      <c r="C273" s="100"/>
      <c r="D273" s="100"/>
      <c r="E273" s="100"/>
      <c r="F273" s="100"/>
      <c r="I273" s="100" t="s">
        <v>21</v>
      </c>
      <c r="J273" s="100"/>
      <c r="K273" s="100"/>
      <c r="L273" s="100"/>
      <c r="M273" s="100"/>
      <c r="P273" s="100" t="s">
        <v>21</v>
      </c>
      <c r="Q273" s="100"/>
      <c r="R273" s="100"/>
      <c r="S273" s="100"/>
      <c r="T273" s="100"/>
    </row>
    <row r="274" spans="2:20" x14ac:dyDescent="0.3">
      <c r="B274" s="100" t="s">
        <v>22</v>
      </c>
      <c r="C274" s="100"/>
      <c r="D274" s="100"/>
      <c r="E274" s="100"/>
      <c r="F274" s="100"/>
      <c r="I274" s="100" t="s">
        <v>22</v>
      </c>
      <c r="J274" s="100"/>
      <c r="K274" s="100"/>
      <c r="L274" s="100"/>
      <c r="M274" s="100"/>
      <c r="P274" s="100" t="s">
        <v>22</v>
      </c>
      <c r="Q274" s="100"/>
      <c r="R274" s="100"/>
      <c r="S274" s="100"/>
      <c r="T274" s="100"/>
    </row>
    <row r="275" spans="2:20" x14ac:dyDescent="0.3">
      <c r="B275" s="100" t="s">
        <v>23</v>
      </c>
      <c r="C275" s="100"/>
      <c r="D275" s="100"/>
      <c r="E275" s="100"/>
      <c r="F275" s="100"/>
      <c r="I275" s="100" t="s">
        <v>23</v>
      </c>
      <c r="J275" s="100"/>
      <c r="K275" s="100"/>
      <c r="L275" s="100"/>
      <c r="M275" s="100"/>
      <c r="P275" s="100" t="s">
        <v>23</v>
      </c>
      <c r="Q275" s="100"/>
      <c r="R275" s="100"/>
      <c r="S275" s="100"/>
      <c r="T275" s="100"/>
    </row>
    <row r="276" spans="2:20" x14ac:dyDescent="0.3">
      <c r="B276" s="100" t="s">
        <v>24</v>
      </c>
      <c r="C276" s="100"/>
      <c r="D276" s="100"/>
      <c r="E276" s="100"/>
      <c r="F276" s="100"/>
      <c r="I276" s="100" t="s">
        <v>24</v>
      </c>
      <c r="J276" s="100"/>
      <c r="K276" s="100"/>
      <c r="L276" s="100"/>
      <c r="M276" s="100"/>
      <c r="P276" s="100" t="s">
        <v>24</v>
      </c>
      <c r="Q276" s="100"/>
      <c r="R276" s="100"/>
      <c r="S276" s="100"/>
      <c r="T276" s="100"/>
    </row>
    <row r="277" spans="2:20" x14ac:dyDescent="0.3">
      <c r="B277" s="100" t="s">
        <v>25</v>
      </c>
      <c r="C277" s="100"/>
      <c r="D277" s="100"/>
      <c r="E277" s="100"/>
      <c r="F277" s="100"/>
      <c r="I277" s="100" t="s">
        <v>25</v>
      </c>
      <c r="J277" s="100"/>
      <c r="K277" s="100"/>
      <c r="L277" s="100"/>
      <c r="M277" s="100"/>
      <c r="P277" s="100" t="s">
        <v>25</v>
      </c>
      <c r="Q277" s="100"/>
      <c r="R277" s="100"/>
      <c r="S277" s="100"/>
      <c r="T277" s="100"/>
    </row>
    <row r="278" spans="2:20" x14ac:dyDescent="0.3">
      <c r="B278" s="100" t="s">
        <v>26</v>
      </c>
      <c r="C278" s="100"/>
      <c r="D278" s="100"/>
      <c r="E278" s="100"/>
      <c r="F278" s="100"/>
      <c r="I278" s="100" t="s">
        <v>26</v>
      </c>
      <c r="J278" s="100"/>
      <c r="K278" s="100"/>
      <c r="L278" s="100"/>
      <c r="M278" s="100"/>
      <c r="P278" s="100" t="s">
        <v>26</v>
      </c>
      <c r="Q278" s="100"/>
      <c r="R278" s="100"/>
      <c r="S278" s="100"/>
      <c r="T278" s="100"/>
    </row>
    <row r="279" spans="2:20" x14ac:dyDescent="0.3">
      <c r="B279" s="100" t="s">
        <v>27</v>
      </c>
      <c r="C279" s="100"/>
      <c r="D279" s="100"/>
      <c r="E279" s="100"/>
      <c r="F279" s="100"/>
      <c r="I279" s="100" t="s">
        <v>27</v>
      </c>
      <c r="J279" s="100"/>
      <c r="K279" s="100"/>
      <c r="L279" s="100"/>
      <c r="M279" s="100"/>
      <c r="P279" s="100" t="s">
        <v>27</v>
      </c>
      <c r="Q279" s="100"/>
      <c r="R279" s="100"/>
      <c r="S279" s="100"/>
      <c r="T279" s="100"/>
    </row>
    <row r="280" spans="2:20" x14ac:dyDescent="0.3">
      <c r="B280" s="100" t="s">
        <v>28</v>
      </c>
      <c r="C280" s="100"/>
      <c r="D280" s="100"/>
      <c r="E280" s="100"/>
      <c r="F280" s="100"/>
      <c r="I280" s="100" t="s">
        <v>28</v>
      </c>
      <c r="J280" s="100"/>
      <c r="K280" s="100"/>
      <c r="L280" s="100"/>
      <c r="M280" s="100"/>
      <c r="P280" s="100" t="s">
        <v>28</v>
      </c>
      <c r="Q280" s="100"/>
      <c r="R280" s="100"/>
      <c r="S280" s="100"/>
      <c r="T280" s="100"/>
    </row>
    <row r="281" spans="2:20" x14ac:dyDescent="0.3">
      <c r="B281" s="100" t="s">
        <v>29</v>
      </c>
      <c r="C281" s="100"/>
      <c r="D281" s="100"/>
      <c r="E281" s="100"/>
      <c r="F281" s="100"/>
      <c r="I281" s="100" t="s">
        <v>29</v>
      </c>
      <c r="J281" s="100"/>
      <c r="K281" s="100"/>
      <c r="L281" s="100"/>
      <c r="M281" s="100"/>
      <c r="P281" s="100" t="s">
        <v>29</v>
      </c>
      <c r="Q281" s="100"/>
      <c r="R281" s="100"/>
      <c r="S281" s="100"/>
      <c r="T281" s="100"/>
    </row>
    <row r="282" spans="2:20" x14ac:dyDescent="0.3">
      <c r="B282" s="100" t="s">
        <v>30</v>
      </c>
      <c r="C282" s="100"/>
      <c r="D282" s="100"/>
      <c r="E282" s="100"/>
      <c r="F282" s="100"/>
      <c r="I282" s="100" t="s">
        <v>30</v>
      </c>
      <c r="J282" s="100"/>
      <c r="K282" s="100"/>
      <c r="L282" s="100"/>
      <c r="M282" s="100"/>
      <c r="P282" s="100" t="s">
        <v>30</v>
      </c>
      <c r="Q282" s="100"/>
      <c r="R282" s="100"/>
      <c r="S282" s="100"/>
      <c r="T282" s="100"/>
    </row>
    <row r="283" spans="2:20" x14ac:dyDescent="0.3">
      <c r="B283" s="100" t="s">
        <v>32</v>
      </c>
      <c r="C283" s="100"/>
      <c r="D283" s="100"/>
      <c r="E283" s="100"/>
      <c r="F283" s="100"/>
      <c r="I283" s="100" t="s">
        <v>32</v>
      </c>
      <c r="J283" s="100"/>
      <c r="K283" s="100"/>
      <c r="L283" s="100"/>
      <c r="M283" s="100"/>
      <c r="P283" s="100" t="s">
        <v>32</v>
      </c>
      <c r="Q283" s="100"/>
      <c r="R283" s="100"/>
      <c r="S283" s="100"/>
      <c r="T283" s="100"/>
    </row>
    <row r="284" spans="2:20" x14ac:dyDescent="0.3">
      <c r="B284" s="100" t="s">
        <v>34</v>
      </c>
      <c r="C284" s="100"/>
      <c r="D284" s="100"/>
      <c r="E284" s="100"/>
      <c r="F284" s="100"/>
      <c r="I284" s="100" t="s">
        <v>34</v>
      </c>
      <c r="J284" s="100"/>
      <c r="K284" s="100"/>
      <c r="L284" s="100"/>
      <c r="M284" s="100"/>
      <c r="P284" s="100" t="s">
        <v>34</v>
      </c>
      <c r="Q284" s="100"/>
      <c r="R284" s="100"/>
      <c r="S284" s="100"/>
      <c r="T284" s="100"/>
    </row>
    <row r="285" spans="2:20" ht="15" thickBot="1" x14ac:dyDescent="0.35">
      <c r="B285" s="101" t="s">
        <v>36</v>
      </c>
      <c r="C285" s="91">
        <v>20</v>
      </c>
      <c r="D285" s="95">
        <v>10</v>
      </c>
      <c r="E285" s="94">
        <v>10</v>
      </c>
      <c r="F285" s="98">
        <v>5</v>
      </c>
      <c r="I285" s="101" t="s">
        <v>36</v>
      </c>
      <c r="J285" s="91">
        <v>10</v>
      </c>
      <c r="K285" s="95">
        <v>10</v>
      </c>
      <c r="L285" s="94">
        <v>10</v>
      </c>
      <c r="M285" s="98">
        <v>10</v>
      </c>
      <c r="P285" s="101" t="s">
        <v>36</v>
      </c>
      <c r="Q285" s="91">
        <v>12</v>
      </c>
      <c r="R285" s="95">
        <v>10</v>
      </c>
      <c r="S285" s="94">
        <v>10</v>
      </c>
      <c r="T285" s="98">
        <v>10</v>
      </c>
    </row>
    <row r="286" spans="2:20" ht="15" thickBot="1" x14ac:dyDescent="0.35"/>
    <row r="287" spans="2:20" x14ac:dyDescent="0.3">
      <c r="B287" s="99" t="s">
        <v>80</v>
      </c>
      <c r="C287" s="99">
        <f>SUM(C265:C285)</f>
        <v>20</v>
      </c>
      <c r="D287" s="99">
        <f>SUM(D265:D285)</f>
        <v>10</v>
      </c>
      <c r="E287" s="102">
        <f>SUM(E265:E285)</f>
        <v>10</v>
      </c>
      <c r="F287" s="99">
        <f>SUM(F265:F285)</f>
        <v>5</v>
      </c>
      <c r="I287" s="99" t="s">
        <v>80</v>
      </c>
      <c r="J287" s="99">
        <f>SUM(J265:J285)</f>
        <v>10</v>
      </c>
      <c r="K287" s="99">
        <f>SUM(K265:K285)</f>
        <v>10</v>
      </c>
      <c r="L287" s="102">
        <f>SUM(L265:L285)</f>
        <v>10</v>
      </c>
      <c r="M287" s="99">
        <f>SUM(M265:M285)</f>
        <v>10</v>
      </c>
      <c r="P287" s="99" t="s">
        <v>80</v>
      </c>
      <c r="Q287" s="99">
        <f>SUM(Q265:Q285)</f>
        <v>12</v>
      </c>
      <c r="R287" s="99">
        <f>SUM(R265:R285)</f>
        <v>10</v>
      </c>
      <c r="S287" s="102">
        <f>SUM(S265:S285)</f>
        <v>10</v>
      </c>
      <c r="T287" s="99">
        <f>SUM(T265:T285)</f>
        <v>10</v>
      </c>
    </row>
    <row r="288" spans="2:20" x14ac:dyDescent="0.3">
      <c r="B288" s="100" t="s">
        <v>39</v>
      </c>
      <c r="C288" s="121">
        <v>300</v>
      </c>
      <c r="D288" s="121">
        <v>150</v>
      </c>
      <c r="E288" s="122">
        <v>100</v>
      </c>
      <c r="F288" s="121">
        <v>80</v>
      </c>
      <c r="I288" s="100" t="s">
        <v>39</v>
      </c>
      <c r="J288" s="121">
        <v>300</v>
      </c>
      <c r="K288" s="121">
        <v>150</v>
      </c>
      <c r="L288" s="122">
        <v>100</v>
      </c>
      <c r="M288" s="121">
        <v>80</v>
      </c>
      <c r="P288" s="100" t="s">
        <v>39</v>
      </c>
      <c r="Q288" s="121">
        <v>300</v>
      </c>
      <c r="R288" s="121">
        <v>150</v>
      </c>
      <c r="S288" s="122">
        <v>100</v>
      </c>
      <c r="T288" s="121">
        <v>80</v>
      </c>
    </row>
    <row r="289" spans="2:20" x14ac:dyDescent="0.3">
      <c r="B289" s="100"/>
      <c r="C289" s="100"/>
      <c r="D289" s="100"/>
      <c r="E289" s="103"/>
      <c r="F289" s="100"/>
      <c r="I289" s="100"/>
      <c r="J289" s="100"/>
      <c r="K289" s="100"/>
      <c r="L289" s="103"/>
      <c r="M289" s="100"/>
      <c r="P289" s="100"/>
      <c r="Q289" s="100"/>
      <c r="R289" s="100"/>
      <c r="S289" s="103"/>
      <c r="T289" s="100"/>
    </row>
    <row r="290" spans="2:20" ht="15" thickBot="1" x14ac:dyDescent="0.35">
      <c r="B290" s="101" t="s">
        <v>81</v>
      </c>
      <c r="C290" s="91">
        <f>SUM(C287,C288)</f>
        <v>320</v>
      </c>
      <c r="D290" s="95">
        <f>SUM(D287,D288)</f>
        <v>160</v>
      </c>
      <c r="E290" s="85">
        <f>SUM(E287,E288)</f>
        <v>110</v>
      </c>
      <c r="F290" s="98">
        <f>SUM(F287,F288)</f>
        <v>85</v>
      </c>
      <c r="I290" s="101" t="s">
        <v>81</v>
      </c>
      <c r="J290" s="91">
        <f>SUM(J287,J288)</f>
        <v>310</v>
      </c>
      <c r="K290" s="95">
        <f>SUM(K287,K288)</f>
        <v>160</v>
      </c>
      <c r="L290" s="85">
        <f>SUM(L287,L288)</f>
        <v>110</v>
      </c>
      <c r="M290" s="98">
        <f>SUM(M287,M288)</f>
        <v>90</v>
      </c>
      <c r="P290" s="101" t="s">
        <v>81</v>
      </c>
      <c r="Q290" s="91">
        <f>SUM(Q287,Q288)</f>
        <v>312</v>
      </c>
      <c r="R290" s="95">
        <f>SUM(R287,R288)</f>
        <v>160</v>
      </c>
      <c r="S290" s="85">
        <f>SUM(S287,S288)</f>
        <v>110</v>
      </c>
      <c r="T290" s="98">
        <f>SUM(T287,T288)</f>
        <v>90</v>
      </c>
    </row>
  </sheetData>
  <phoneticPr fontId="16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09FEFD7072E49BAC8EEA6F5A6ACB5" ma:contentTypeVersion="10" ma:contentTypeDescription="Een nieuw document maken." ma:contentTypeScope="" ma:versionID="d1332c2652a73b23220515af993830c9">
  <xsd:schema xmlns:xsd="http://www.w3.org/2001/XMLSchema" xmlns:xs="http://www.w3.org/2001/XMLSchema" xmlns:p="http://schemas.microsoft.com/office/2006/metadata/properties" xmlns:ns2="99c493b4-5584-4824-a65c-a0fc9e5a02a3" xmlns:ns3="f30ef077-5150-4672-807f-e23bfea9d21e" targetNamespace="http://schemas.microsoft.com/office/2006/metadata/properties" ma:root="true" ma:fieldsID="05facf2e72339ec7ebf72fdd8e6cb863" ns2:_="" ns3:_="">
    <xsd:import namespace="99c493b4-5584-4824-a65c-a0fc9e5a02a3"/>
    <xsd:import namespace="f30ef077-5150-4672-807f-e23bfea9d21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c493b4-5584-4824-a65c-a0fc9e5a02a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ef077-5150-4672-807f-e23bfea9d2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0C976E-FF52-4634-8DC2-BA56EEB84160}">
  <ds:schemaRefs>
    <ds:schemaRef ds:uri="http://purl.org/dc/elements/1.1/"/>
    <ds:schemaRef ds:uri="http://purl.org/dc/terms/"/>
    <ds:schemaRef ds:uri="f30ef077-5150-4672-807f-e23bfea9d21e"/>
    <ds:schemaRef ds:uri="99c493b4-5584-4824-a65c-a0fc9e5a02a3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B6B98E7-42F7-49E6-BEAD-BD169B5D4F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28D15B-1B66-4DAB-8223-6CBD71770D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c493b4-5584-4824-a65c-a0fc9e5a02a3"/>
    <ds:schemaRef ds:uri="f30ef077-5150-4672-807f-e23bfea9d2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TOUR PUNTEN</vt:lpstr>
      <vt:lpstr>Puntentelling</vt:lpstr>
      <vt:lpstr>Grafieken</vt:lpstr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 Marien</dc:creator>
  <cp:keywords/>
  <dc:description/>
  <cp:lastModifiedBy>Roel Laporte</cp:lastModifiedBy>
  <cp:revision/>
  <dcterms:created xsi:type="dcterms:W3CDTF">2022-07-15T16:31:16Z</dcterms:created>
  <dcterms:modified xsi:type="dcterms:W3CDTF">2026-04-20T08:28:08Z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0x0101007ED09FEFD7072E49BAC8EEA6F5A6ACB5</vt:lpwstr>
  </property>
</Properties>
</file>